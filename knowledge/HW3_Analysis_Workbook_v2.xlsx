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 Dictionary" sheetId="2" state="visible" r:id="rId4"/>
    <sheet name="Cleaning &amp; Validation" sheetId="3" state="visible" r:id="rId5"/>
    <sheet name="Timeline Reconciliation" sheetId="4" state="visible" r:id="rId6"/>
    <sheet name="Shipments Data" sheetId="5" state="visible" r:id="rId7"/>
    <sheet name="SKU Catalog" sheetId="6" state="visible" r:id="rId8"/>
    <sheet name="Austin Daily" sheetId="7" state="visible" r:id="rId9"/>
    <sheet name="Supplier Reliability" sheetId="8" state="visible" r:id="rId10"/>
    <sheet name="Margin Economics" sheetId="9" state="visible" r:id="rId11"/>
    <sheet name="Launch Risk" sheetId="10" state="visible" r:id="rId12"/>
    <sheet name="Choice Set"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<sst xmlns="http://schemas.openxmlformats.org/spreadsheetml/2006/main" count="1474" uniqueCount="515">
  <si>
    <t xml:space="preserve">GreenThreads Operations — Denver Launch Readiness (v2)</t>
  </si>
  <si>
    <t xml:space="preserve">HW#3 Data Intelligence Project — supporting analysis. Revised with cross-department source data.</t>
  </si>
  <si>
    <t xml:space="preserve">Company: GreenThreads  |  Function: Operations  |  Analysis date (As_of_Date): August 18, 2026</t>
  </si>
  <si>
    <t xml:space="preserve">Function goal (HW#1): get the four launch products onto the Denver sales floor on time.</t>
  </si>
  <si>
    <t xml:space="preserve">What changed in v2</t>
  </si>
  <si>
    <t xml:space="preserve">v1 analyzed supplier reliability against an October 12 opening treated as fixed. Finance and HR source</t>
  </si>
  <si>
    <t xml:space="preserve">documents show that date is not established anywhere: the lease build-out window ends Oct 13-27, and no</t>
  </si>
  <si>
    <t xml:space="preserve">document in any department states a required in-store date. Timeline risk is now the lead finding, with</t>
  </si>
  <si>
    <t xml:space="preserve">supplier reliability as the exposure that rides on it.</t>
  </si>
  <si>
    <t xml:space="preserve">Tabs</t>
  </si>
  <si>
    <t xml:space="preserve">Data Dictionary — every field defined and classified, with its quality rule.</t>
  </si>
  <si>
    <t xml:space="preserve">Cleaning &amp; Validation — every check run, its result, treatment, and business reason.</t>
  </si>
  <si>
    <t xml:space="preserve">Timeline Reconciliation — the four departments' dates side by side and where they conflict.</t>
  </si>
  <si>
    <t xml:space="preserve">Supplier Reliability — frequency and severity by supplier, plus active overdue exposure.</t>
  </si>
  <si>
    <t xml:space="preserve">Launch Risk — launch SKUs mapped to supplier reliability, retail value, margin, and carton status.</t>
  </si>
  <si>
    <t xml:space="preserve">Margin Economics — Austin actuals used to price a day of lost selling in a common unit.</t>
  </si>
  <si>
    <t xml:space="preserve">Choice Set — three options priced in the same unit, with the recommendation.</t>
  </si>
  <si>
    <t xml:space="preserve">Raw data tabs — Shipments, SKU Catalog, Austin Daily.</t>
  </si>
  <si>
    <t xml:space="preserve">Cross-department sources used (Operations remains the acting function)</t>
  </si>
  <si>
    <t xml:space="preserve">Finance: Denver lease summary terms; Austin store daily sales with COGS and gross margin.</t>
  </si>
  <si>
    <t xml:space="preserve">HR: Denver applicant pipeline; Sales Associate offer letter; handbook training requirement.</t>
  </si>
  <si>
    <t xml:space="preserve">These informed our timeline and margin math. Recommendations here are Operations decisions only.</t>
  </si>
  <si>
    <t xml:space="preserve">Sample-size and coverage caveats</t>
  </si>
  <si>
    <t xml:space="preserve">Song Hong's 12.1-day average rests on 12 completed orders; directional, not statistically tight.</t>
  </si>
  <si>
    <t xml:space="preserve">No dataset provided contains a Denver store. Shipments, Austin sales, and customer data are all proxy</t>
  </si>
  <si>
    <t xml:space="preserve">lanes, so Denver-specific behavior is inferred, not observed.</t>
  </si>
  <si>
    <t xml:space="preserve">Austin is an established store; opening weeks typically run above its averages, so per-day margin here</t>
  </si>
  <si>
    <t xml:space="preserve">is a conservative floor rather than a forecast.</t>
  </si>
  <si>
    <t xml:space="preserve">Tools, Method &amp; Verification</t>
  </si>
  <si>
    <t xml:space="preserve">Analyzed in ChatGPT Work (reasoning tier) and Claude (Opus / Sonnet 4.6); independently recomputed in</t>
  </si>
  <si>
    <t xml:space="preserve">Python/pandas; reproduced here as live Excel formulas so no figure rests on a number a model typed.</t>
  </si>
  <si>
    <t xml:space="preserve">Validation: 0 duplicate POs, 0 required-field gaps, 0 date/status conflicts, 0 line-cost errors, 0</t>
  </si>
  <si>
    <t xml:space="preserve">catalog-mapping errors, 0 Days_Late mismatches across 80 received rows.</t>
  </si>
  <si>
    <t xml:space="preserve">Decision rights</t>
  </si>
  <si>
    <t xml:space="preserve">Operations owns escalation and the exception-control call. Procurement owns spend and sourcing. Legal owns</t>
  </si>
  <si>
    <t xml:space="preserve">contract terms. Store Manager confirms the required in-store date. AI calculates and flags; a human reviews</t>
  </si>
  <si>
    <t xml:space="preserve">every trigger and makes the final decision.</t>
  </si>
  <si>
    <t xml:space="preserve">Data Dictionary</t>
  </si>
  <si>
    <t xml:space="preserve">Field meanings confirmed before analysis. Classification separates inputs, calculated outcomes, and validation fields.</t>
  </si>
  <si>
    <t xml:space="preserve">Dataset</t>
  </si>
  <si>
    <t xml:space="preserve">Field</t>
  </si>
  <si>
    <t xml:space="preserve">Business definition</t>
  </si>
  <si>
    <t xml:space="preserve">Type</t>
  </si>
  <si>
    <t xml:space="preserve">Classification</t>
  </si>
  <si>
    <t xml:space="preserve">Quality rule</t>
  </si>
  <si>
    <t xml:space="preserve">Shipments</t>
  </si>
  <si>
    <t xml:space="preserve">PO_Number</t>
  </si>
  <si>
    <t xml:space="preserve">Unique purchase-order identifier.</t>
  </si>
  <si>
    <t xml:space="preserve">Text</t>
  </si>
  <si>
    <t xml:space="preserve">Identifier</t>
  </si>
  <si>
    <t xml:space="preserve">Required; unique; PO-#### format</t>
  </si>
  <si>
    <t xml:space="preserve">SKU</t>
  </si>
  <si>
    <t xml:space="preserve">Stock-keeping unit identifier.</t>
  </si>
  <si>
    <t xml:space="preserve">Required; maps to one catalog product</t>
  </si>
  <si>
    <t xml:space="preserve">Supplier</t>
  </si>
  <si>
    <t xml:space="preserve">Vendor responsible for the shipment.</t>
  </si>
  <si>
    <t xml:space="preserve">Dimension</t>
  </si>
  <si>
    <t xml:space="preserve">One spelling; maps to one country</t>
  </si>
  <si>
    <t xml:space="preserve">Promised_Date</t>
  </si>
  <si>
    <t xml:space="preserve">Supplier-planned receipt date.</t>
  </si>
  <si>
    <t xml:space="preserve">Date</t>
  </si>
  <si>
    <t xml:space="preserve">Input</t>
  </si>
  <si>
    <t xml:space="preserve">Must be &gt;= order date</t>
  </si>
  <si>
    <t xml:space="preserve">Actual_Receipt_Date</t>
  </si>
  <si>
    <t xml:space="preserve">Actual receipt; legitimately blank while in transit.</t>
  </si>
  <si>
    <t xml:space="preserve">Outcome</t>
  </si>
  <si>
    <t xml:space="preserve">Required only when Received</t>
  </si>
  <si>
    <t xml:space="preserve">Status</t>
  </si>
  <si>
    <t xml:space="preserve">Received or In transit.</t>
  </si>
  <si>
    <t xml:space="preserve">Must agree with receipt-date presence</t>
  </si>
  <si>
    <t xml:space="preserve">Days_Late</t>
  </si>
  <si>
    <t xml:space="preserve">Actual minus promised. Blank while in transit.</t>
  </si>
  <si>
    <t xml:space="preserve">Number</t>
  </si>
  <si>
    <t xml:space="preserve">Calculated outcome</t>
  </si>
  <si>
    <t xml:space="preserve">Recalculate and match</t>
  </si>
  <si>
    <t xml:space="preserve">Line_Cost</t>
  </si>
  <si>
    <t xml:space="preserve">Units multiplied by unit cost.</t>
  </si>
  <si>
    <t xml:space="preserve">Currency</t>
  </si>
  <si>
    <t xml:space="preserve">Calculated</t>
  </si>
  <si>
    <t xml:space="preserve">Must reconcile</t>
  </si>
  <si>
    <t xml:space="preserve">Derived</t>
  </si>
  <si>
    <t xml:space="preserve">Current_Days_Overdue</t>
  </si>
  <si>
    <t xml:space="preserve">Days past promise for an in-transit order as of As_of_Date.</t>
  </si>
  <si>
    <t xml:space="preserve">Never replace unknown receipt with zero</t>
  </si>
  <si>
    <t xml:space="preserve">Catalog</t>
  </si>
  <si>
    <t xml:space="preserve">Lead_Time_Days</t>
  </si>
  <si>
    <t xml:space="preserve">Planned supplier lead time.</t>
  </si>
  <si>
    <t xml:space="preserve">Integer</t>
  </si>
  <si>
    <t xml:space="preserve">Order_By + Lead_Time implies in-store date</t>
  </si>
  <si>
    <t xml:space="preserve">Units_Per_Carton</t>
  </si>
  <si>
    <t xml:space="preserve">Units in a full shipping carton.</t>
  </si>
  <si>
    <t xml:space="preserve">Constraint</t>
  </si>
  <si>
    <t xml:space="preserve">Launch buy should be a whole multiple</t>
  </si>
  <si>
    <t xml:space="preserve">Wholesale_Cost</t>
  </si>
  <si>
    <t xml:space="preserve">Catalog cost per unit; merchandise only, excludes freight and duty.</t>
  </si>
  <si>
    <t xml:space="preserve">Must equal shipment unit cost</t>
  </si>
  <si>
    <t xml:space="preserve">Unit_Margin</t>
  </si>
  <si>
    <t xml:space="preserve">MSRP minus wholesale cost; gross of landed freight and duty.</t>
  </si>
  <si>
    <t xml:space="preserve">Austin (Finance)</t>
  </si>
  <si>
    <t xml:space="preserve">COGS_USD</t>
  </si>
  <si>
    <t xml:space="preserve">Cost of goods sold for the day.</t>
  </si>
  <si>
    <t xml:space="preserve">Used for realized margin rate</t>
  </si>
  <si>
    <t xml:space="preserve">Gross_Margin_USD</t>
  </si>
  <si>
    <t xml:space="preserve">Net sales minus COGS.</t>
  </si>
  <si>
    <t xml:space="preserve">Basis for margin-per-day unit</t>
  </si>
  <si>
    <t xml:space="preserve">Lease (Finance)</t>
  </si>
  <si>
    <t xml:space="preserve">Delivery Date</t>
  </si>
  <si>
    <t xml:space="preserve">Landlord tenant-ready delivery, on or about Sept 1 2026.</t>
  </si>
  <si>
    <t xml:space="preserve">External input</t>
  </si>
  <si>
    <t xml:space="preserve">Soft date; no penalty for delay</t>
  </si>
  <si>
    <t xml:space="preserve">Build-out window</t>
  </si>
  <si>
    <t xml:space="preserve">Customarily 6-8 weeks after delivery.</t>
  </si>
  <si>
    <t xml:space="preserve">Range</t>
  </si>
  <si>
    <t xml:space="preserve">Drives earliest possible open</t>
  </si>
  <si>
    <t xml:space="preserve">HR</t>
  </si>
  <si>
    <t xml:space="preserve">Proposed_Start_Date</t>
  </si>
  <si>
    <t xml:space="preserve">Offered start date by role.</t>
  </si>
  <si>
    <t xml:space="preserve">Plus 2-week training = floor-ready date</t>
  </si>
  <si>
    <t xml:space="preserve">Offer_Accepted</t>
  </si>
  <si>
    <t xml:space="preserve">Whether an extended offer was accepted.</t>
  </si>
  <si>
    <t xml:space="preserve">Drives staffing coverage risk</t>
  </si>
  <si>
    <t xml:space="preserve">Cleaning &amp; Validation</t>
  </si>
  <si>
    <t xml:space="preserve">Issues documented transparently. Valid blanks preserved as unknowns; no source values silently changed.</t>
  </si>
  <si>
    <t xml:space="preserve">#</t>
  </si>
  <si>
    <t xml:space="preserve">Check</t>
  </si>
  <si>
    <t xml:space="preserve">Result</t>
  </si>
  <si>
    <t xml:space="preserve">Treatment</t>
  </si>
  <si>
    <t xml:space="preserve">Business reason</t>
  </si>
  <si>
    <t xml:space="preserve">1</t>
  </si>
  <si>
    <t xml:space="preserve">Shipment row count</t>
  </si>
  <si>
    <t xml:space="preserve">96 rows present</t>
  </si>
  <si>
    <t xml:space="preserve">Pass</t>
  </si>
  <si>
    <t xml:space="preserve">Retained</t>
  </si>
  <si>
    <t xml:space="preserve">Complete analysis population</t>
  </si>
  <si>
    <t xml:space="preserve">2</t>
  </si>
  <si>
    <t xml:space="preserve">Duplicate PO numbers</t>
  </si>
  <si>
    <t xml:space="preserve">0 duplicates (PO-4400 to PO-4495)</t>
  </si>
  <si>
    <t xml:space="preserve">No removal needed</t>
  </si>
  <si>
    <t xml:space="preserve">Avoids double counting</t>
  </si>
  <si>
    <t xml:space="preserve">3</t>
  </si>
  <si>
    <t xml:space="preserve">Required shipment fields</t>
  </si>
  <si>
    <t xml:space="preserve">0 missing required fields</t>
  </si>
  <si>
    <t xml:space="preserve">No correction needed</t>
  </si>
  <si>
    <t xml:space="preserve">Inputs complete</t>
  </si>
  <si>
    <t xml:space="preserve">4</t>
  </si>
  <si>
    <t xml:space="preserve">Date logic (order &lt;= promised)</t>
  </si>
  <si>
    <t xml:space="preserve">0 invalid sequences</t>
  </si>
  <si>
    <t xml:space="preserve">Prevents negative lead-time errors</t>
  </si>
  <si>
    <t xml:space="preserve">5</t>
  </si>
  <si>
    <t xml:space="preserve">Status / receipt consistency</t>
  </si>
  <si>
    <t xml:space="preserve">0 conflicts</t>
  </si>
  <si>
    <t xml:space="preserve">Status controls eligible calculations</t>
  </si>
  <si>
    <t xml:space="preserve">6</t>
  </si>
  <si>
    <t xml:space="preserve">Line-cost reconciliation</t>
  </si>
  <si>
    <t xml:space="preserve">0 mismatches</t>
  </si>
  <si>
    <t xml:space="preserve">Protects cost totals</t>
  </si>
  <si>
    <t xml:space="preserve">7</t>
  </si>
  <si>
    <t xml:space="preserve">Days_Late recalculation</t>
  </si>
  <si>
    <t xml:space="preserve">0 mismatches across 80 received rows</t>
  </si>
  <si>
    <t xml:space="preserve">Verifies AI-reported delay math</t>
  </si>
  <si>
    <t xml:space="preserve">8</t>
  </si>
  <si>
    <t xml:space="preserve">Cross-file catalog mapping</t>
  </si>
  <si>
    <t xml:space="preserve">0 mapping or economics mismatches</t>
  </si>
  <si>
    <t xml:space="preserve">SKU, supplier, cost reconcile</t>
  </si>
  <si>
    <t xml:space="preserve">9</t>
  </si>
  <si>
    <t xml:space="preserve">Valid in-transit blanks</t>
  </si>
  <si>
    <t xml:space="preserve">32 blanks across 16 rows</t>
  </si>
  <si>
    <t xml:space="preserve">Expected</t>
  </si>
  <si>
    <t xml:space="preserve">Preserved; measured against As_of_Date</t>
  </si>
  <si>
    <t xml:space="preserve">An unknown receipt is not an on-time receipt</t>
  </si>
  <si>
    <t xml:space="preserve">10</t>
  </si>
  <si>
    <t xml:space="preserve">Supplier name consistency</t>
  </si>
  <si>
    <t xml:space="preserve">4 suppliers, 1 spelling each in this file</t>
  </si>
  <si>
    <t xml:space="preserve">Pass (watch)</t>
  </si>
  <si>
    <t xml:space="preserve">Normalization retained in pipeline</t>
  </si>
  <si>
    <t xml:space="preserve">An earlier export split one supplier across two spellings</t>
  </si>
  <si>
    <t xml:space="preserve">11</t>
  </si>
  <si>
    <t xml:space="preserve">Launch carton multiples</t>
  </si>
  <si>
    <t xml:space="preserve">3 of 4 buys are not whole cartons (70.8, 66.7, 59.4)</t>
  </si>
  <si>
    <t xml:space="preserve">Needs verification</t>
  </si>
  <si>
    <t xml:space="preserve">Escalated for confirmation; source unchanged</t>
  </si>
  <si>
    <t xml:space="preserve">Avoids receiving disputes at the dock</t>
  </si>
  <si>
    <t xml:space="preserve">12</t>
  </si>
  <si>
    <t xml:space="preserve">'On-time' definition</t>
  </si>
  <si>
    <t xml:space="preserve">0 early deliveries; 23 arrived exactly on promise</t>
  </si>
  <si>
    <t xml:space="preserve">Documented</t>
  </si>
  <si>
    <t xml:space="preserve">Report % late and avg days late together</t>
  </si>
  <si>
    <t xml:space="preserve">On-time rate alone flatters suppliers never early</t>
  </si>
  <si>
    <t xml:space="preserve">13</t>
  </si>
  <si>
    <t xml:space="preserve">Song Hong sample size</t>
  </si>
  <si>
    <t xml:space="preserve">12 completed orders</t>
  </si>
  <si>
    <t xml:space="preserve">Treated as directional, not statistically tight</t>
  </si>
  <si>
    <t xml:space="preserve">Prevents overstating a thin-sample average</t>
  </si>
  <si>
    <t xml:space="preserve">14</t>
  </si>
  <si>
    <t xml:space="preserve">Denver coverage across datasets</t>
  </si>
  <si>
    <t xml:space="preserve">0 Denver records in shipments, Austin sales, or customer data</t>
  </si>
  <si>
    <t xml:space="preserve">All Denver figures labeled as proxy-derived</t>
  </si>
  <si>
    <t xml:space="preserve">Prevents presenting inference as observation</t>
  </si>
  <si>
    <t xml:space="preserve">15</t>
  </si>
  <si>
    <t xml:space="preserve">Store name conflict (cross-dept)</t>
  </si>
  <si>
    <t xml:space="preserve">HR applicant file says Denver-LoHi; lease and offer letter say Cherry Creek North</t>
  </si>
  <si>
    <t xml:space="preserve">Open discrepancy</t>
  </si>
  <si>
    <t xml:space="preserve">Flagged for confirmation; not resolved here</t>
  </si>
  <si>
    <t xml:space="preserve">PO destination address must be right before shipping</t>
  </si>
  <si>
    <t xml:space="preserve">16</t>
  </si>
  <si>
    <t xml:space="preserve">Required in-store date</t>
  </si>
  <si>
    <t xml:space="preserve">Not stated in any Operations, Finance, or HR document reviewed</t>
  </si>
  <si>
    <t xml:space="preserve">Open gap</t>
  </si>
  <si>
    <t xml:space="preserve">Escalated to Store Manager</t>
  </si>
  <si>
    <t xml:space="preserve">OPS-04 step 1 cannot be executed without it</t>
  </si>
  <si>
    <t xml:space="preserve">Timeline Reconciliation — four departments, four dates</t>
  </si>
  <si>
    <t xml:space="preserve">Every date below is read directly from a source document. The conflict is the finding.</t>
  </si>
  <si>
    <t xml:space="preserve">Source</t>
  </si>
  <si>
    <t xml:space="preserve">Department</t>
  </si>
  <si>
    <t xml:space="preserve">What it establishes</t>
  </si>
  <si>
    <t xml:space="preserve">Implied date</t>
  </si>
  <si>
    <t xml:space="preserve">SKU catalog: Order_By + Lead_Time</t>
  </si>
  <si>
    <t xml:space="preserve">Operations</t>
  </si>
  <si>
    <t xml:space="preserve">All four launch SKUs are planned to land on one date</t>
  </si>
  <si>
    <t xml:space="preserve">October 12, 2026</t>
  </si>
  <si>
    <t xml:space="preserve">Planning assumption</t>
  </si>
  <si>
    <t xml:space="preserve">Lease §3.1 Delivery</t>
  </si>
  <si>
    <t xml:space="preserve">Finance/Legal</t>
  </si>
  <si>
    <t xml:space="preserve">Landlord delivers tenant-ready 'on or about' Sept 1</t>
  </si>
  <si>
    <t xml:space="preserve">September 1, 2026</t>
  </si>
  <si>
    <t xml:space="preserve">Soft date, no penalty</t>
  </si>
  <si>
    <t xml:space="preserve">Lease §3.4 Build-out</t>
  </si>
  <si>
    <t xml:space="preserve">Build-out customarily requires 6-8 weeks after delivery</t>
  </si>
  <si>
    <t xml:space="preserve">October 13 - 27, 2026</t>
  </si>
  <si>
    <t xml:space="preserve">Earliest open is Oct 13</t>
  </si>
  <si>
    <t xml:space="preserve">Lease §4.2 Rent commencement</t>
  </si>
  <si>
    <t xml:space="preserve">Rent starts on earlier of opening or 60 days after delivery</t>
  </si>
  <si>
    <t xml:space="preserve">October 31, 2026</t>
  </si>
  <si>
    <t xml:space="preserve">Hard financial deadline</t>
  </si>
  <si>
    <t xml:space="preserve">HR offer letters + handbook 3.3</t>
  </si>
  <si>
    <t xml:space="preserve">Sales Associates start Sept 28; 2 weeks paid training required</t>
  </si>
  <si>
    <t xml:space="preserve">Zero slack; staffing incomplete</t>
  </si>
  <si>
    <t xml:space="preserve">SH-2291 promise + Song Hong history</t>
  </si>
  <si>
    <t xml:space="preserve">Oct 3 promise plus 12.1-day historical mean</t>
  </si>
  <si>
    <t xml:space="preserve">~October 15, 2026</t>
  </si>
  <si>
    <t xml:space="preserve">Planning inference</t>
  </si>
  <si>
    <t xml:space="preserve">Not found</t>
  </si>
  <si>
    <t xml:space="preserve">OPS-04 step 1 requires it; no document states it</t>
  </si>
  <si>
    <t xml:space="preserve">NOT ESTABLISHED</t>
  </si>
  <si>
    <t xml:space="preserve">The conflict: the earliest date the lease's own build-out window allows is October 13, one day after the October 12 date that Operations inventory planning, HR training, and the launch schedule are all built on. October 12 is not a tight date; it sits outside the lease's stated window. No document anywhere establishes a required in-store date, so the SOP's first planning step cannot be completed.</t>
  </si>
  <si>
    <t xml:space="preserve">Product_Name</t>
  </si>
  <si>
    <t xml:space="preserve">Supplier_Country</t>
  </si>
  <si>
    <t xml:space="preserve">Destination_Store</t>
  </si>
  <si>
    <t xml:space="preserve">Order_Date</t>
  </si>
  <si>
    <t xml:space="preserve">Units</t>
  </si>
  <si>
    <t xml:space="preserve">Unit_Cost</t>
  </si>
  <si>
    <t xml:space="preserve">PO-4400</t>
  </si>
  <si>
    <t xml:space="preserve">GT-CHN-07</t>
  </si>
  <si>
    <t xml:space="preserve">Slim Chino</t>
  </si>
  <si>
    <t xml:space="preserve">Mekong Textile Co.</t>
  </si>
  <si>
    <t xml:space="preserve">Vietnam</t>
  </si>
  <si>
    <t xml:space="preserve">Boise</t>
  </si>
  <si>
    <t xml:space="preserve">Received</t>
  </si>
  <si>
    <t xml:space="preserve">PO-4401</t>
  </si>
  <si>
    <t xml:space="preserve">GT-JKT-08</t>
  </si>
  <si>
    <t xml:space="preserve">Recycled Denim Jacket</t>
  </si>
  <si>
    <t xml:space="preserve">Andes Knitworks</t>
  </si>
  <si>
    <t xml:space="preserve">Colombia</t>
  </si>
  <si>
    <t xml:space="preserve">Spokane</t>
  </si>
  <si>
    <t xml:space="preserve">PO-4402</t>
  </si>
  <si>
    <t xml:space="preserve">GT-JOG-03</t>
  </si>
  <si>
    <t xml:space="preserve">Bamboo Joggers</t>
  </si>
  <si>
    <t xml:space="preserve">Song Hong Apparel</t>
  </si>
  <si>
    <t xml:space="preserve">Portland-Division</t>
  </si>
  <si>
    <t xml:space="preserve">In transit</t>
  </si>
  <si>
    <t xml:space="preserve">PO-4403</t>
  </si>
  <si>
    <t xml:space="preserve">Tacoma</t>
  </si>
  <si>
    <t xml:space="preserve">PO-4404</t>
  </si>
  <si>
    <t xml:space="preserve">GT-TNK-06</t>
  </si>
  <si>
    <t xml:space="preserve">Organic Tank Top</t>
  </si>
  <si>
    <t xml:space="preserve">Delta Organics</t>
  </si>
  <si>
    <t xml:space="preserve">India</t>
  </si>
  <si>
    <t xml:space="preserve">Eugene</t>
  </si>
  <si>
    <t xml:space="preserve">PO-4405</t>
  </si>
  <si>
    <t xml:space="preserve">GT-POL-05</t>
  </si>
  <si>
    <t xml:space="preserve">Performance Polo</t>
  </si>
  <si>
    <t xml:space="preserve">PO-4406</t>
  </si>
  <si>
    <t xml:space="preserve">PO-4407</t>
  </si>
  <si>
    <t xml:space="preserve">Seattle-Cap Hill</t>
  </si>
  <si>
    <t xml:space="preserve">PO-4408</t>
  </si>
  <si>
    <t xml:space="preserve">Austin-South Congress</t>
  </si>
  <si>
    <t xml:space="preserve">PO-4409</t>
  </si>
  <si>
    <t xml:space="preserve">GT-SHT-02</t>
  </si>
  <si>
    <t xml:space="preserve">Active Shorts</t>
  </si>
  <si>
    <t xml:space="preserve">PO-4410</t>
  </si>
  <si>
    <t xml:space="preserve">Salt Lake City</t>
  </si>
  <si>
    <t xml:space="preserve">PO-4411</t>
  </si>
  <si>
    <t xml:space="preserve">PO-4412</t>
  </si>
  <si>
    <t xml:space="preserve">Bend</t>
  </si>
  <si>
    <t xml:space="preserve">PO-4413</t>
  </si>
  <si>
    <t xml:space="preserve">Boulder</t>
  </si>
  <si>
    <t xml:space="preserve">PO-4414</t>
  </si>
  <si>
    <t xml:space="preserve">PO-4415</t>
  </si>
  <si>
    <t xml:space="preserve">PO-4416</t>
  </si>
  <si>
    <t xml:space="preserve">PO-4417</t>
  </si>
  <si>
    <t xml:space="preserve">Seattle-Ballard</t>
  </si>
  <si>
    <t xml:space="preserve">PO-4418</t>
  </si>
  <si>
    <t xml:space="preserve">PO-4419</t>
  </si>
  <si>
    <t xml:space="preserve">PO-4420</t>
  </si>
  <si>
    <t xml:space="preserve">GT-HOD-04</t>
  </si>
  <si>
    <t xml:space="preserve">EcoFleece Hoodie</t>
  </si>
  <si>
    <t xml:space="preserve">PO-4421</t>
  </si>
  <si>
    <t xml:space="preserve">PO-4422</t>
  </si>
  <si>
    <t xml:space="preserve">PO-4423</t>
  </si>
  <si>
    <t xml:space="preserve">PO-4424</t>
  </si>
  <si>
    <t xml:space="preserve">PO-4425</t>
  </si>
  <si>
    <t xml:space="preserve">PO-4426</t>
  </si>
  <si>
    <t xml:space="preserve">PO-4427</t>
  </si>
  <si>
    <t xml:space="preserve">PO-4428</t>
  </si>
  <si>
    <t xml:space="preserve">PO-4429</t>
  </si>
  <si>
    <t xml:space="preserve">Portland-Pearl</t>
  </si>
  <si>
    <t xml:space="preserve">PO-4430</t>
  </si>
  <si>
    <t xml:space="preserve">PO-4431</t>
  </si>
  <si>
    <t xml:space="preserve">GT-TEE-01</t>
  </si>
  <si>
    <t xml:space="preserve">Classic Tee</t>
  </si>
  <si>
    <t xml:space="preserve">PO-4432</t>
  </si>
  <si>
    <t xml:space="preserve">PO-4433</t>
  </si>
  <si>
    <t xml:space="preserve">PO-4434</t>
  </si>
  <si>
    <t xml:space="preserve">PO-4435</t>
  </si>
  <si>
    <t xml:space="preserve">PO-4436</t>
  </si>
  <si>
    <t xml:space="preserve">PO-4437</t>
  </si>
  <si>
    <t xml:space="preserve">PO-4438</t>
  </si>
  <si>
    <t xml:space="preserve">PO-4439</t>
  </si>
  <si>
    <t xml:space="preserve">PO-4440</t>
  </si>
  <si>
    <t xml:space="preserve">PO-4441</t>
  </si>
  <si>
    <t xml:space="preserve">PO-4442</t>
  </si>
  <si>
    <t xml:space="preserve">PO-4443</t>
  </si>
  <si>
    <t xml:space="preserve">PO-4444</t>
  </si>
  <si>
    <t xml:space="preserve">PO-4445</t>
  </si>
  <si>
    <t xml:space="preserve">PO-4446</t>
  </si>
  <si>
    <t xml:space="preserve">PO-4447</t>
  </si>
  <si>
    <t xml:space="preserve">PO-4448</t>
  </si>
  <si>
    <t xml:space="preserve">PO-4449</t>
  </si>
  <si>
    <t xml:space="preserve">PO-4450</t>
  </si>
  <si>
    <t xml:space="preserve">PO-4451</t>
  </si>
  <si>
    <t xml:space="preserve">PO-4452</t>
  </si>
  <si>
    <t xml:space="preserve">PO-4453</t>
  </si>
  <si>
    <t xml:space="preserve">PO-4454</t>
  </si>
  <si>
    <t xml:space="preserve">PO-4455</t>
  </si>
  <si>
    <t xml:space="preserve">PO-4456</t>
  </si>
  <si>
    <t xml:space="preserve">PO-4457</t>
  </si>
  <si>
    <t xml:space="preserve">PO-4458</t>
  </si>
  <si>
    <t xml:space="preserve">PO-4459</t>
  </si>
  <si>
    <t xml:space="preserve">PO-4460</t>
  </si>
  <si>
    <t xml:space="preserve">PO-4461</t>
  </si>
  <si>
    <t xml:space="preserve">PO-4462</t>
  </si>
  <si>
    <t xml:space="preserve">PO-4463</t>
  </si>
  <si>
    <t xml:space="preserve">PO-4464</t>
  </si>
  <si>
    <t xml:space="preserve">PO-4465</t>
  </si>
  <si>
    <t xml:space="preserve">PO-4466</t>
  </si>
  <si>
    <t xml:space="preserve">PO-4467</t>
  </si>
  <si>
    <t xml:space="preserve">PO-4468</t>
  </si>
  <si>
    <t xml:space="preserve">PO-4469</t>
  </si>
  <si>
    <t xml:space="preserve">PO-4470</t>
  </si>
  <si>
    <t xml:space="preserve">PO-4471</t>
  </si>
  <si>
    <t xml:space="preserve">PO-4472</t>
  </si>
  <si>
    <t xml:space="preserve">PO-4473</t>
  </si>
  <si>
    <t xml:space="preserve">PO-4474</t>
  </si>
  <si>
    <t xml:space="preserve">PO-4475</t>
  </si>
  <si>
    <t xml:space="preserve">PO-4476</t>
  </si>
  <si>
    <t xml:space="preserve">PO-4477</t>
  </si>
  <si>
    <t xml:space="preserve">PO-4478</t>
  </si>
  <si>
    <t xml:space="preserve">PO-4479</t>
  </si>
  <si>
    <t xml:space="preserve">PO-4480</t>
  </si>
  <si>
    <t xml:space="preserve">PO-4481</t>
  </si>
  <si>
    <t xml:space="preserve">PO-4482</t>
  </si>
  <si>
    <t xml:space="preserve">PO-4483</t>
  </si>
  <si>
    <t xml:space="preserve">PO-4484</t>
  </si>
  <si>
    <t xml:space="preserve">PO-4485</t>
  </si>
  <si>
    <t xml:space="preserve">PO-4486</t>
  </si>
  <si>
    <t xml:space="preserve">PO-4487</t>
  </si>
  <si>
    <t xml:space="preserve">PO-4488</t>
  </si>
  <si>
    <t xml:space="preserve">PO-4489</t>
  </si>
  <si>
    <t xml:space="preserve">PO-4490</t>
  </si>
  <si>
    <t xml:space="preserve">PO-4491</t>
  </si>
  <si>
    <t xml:space="preserve">PO-4492</t>
  </si>
  <si>
    <t xml:space="preserve">PO-4493</t>
  </si>
  <si>
    <t xml:space="preserve">PO-4494</t>
  </si>
  <si>
    <t xml:space="preserve">PO-4495</t>
  </si>
  <si>
    <t xml:space="preserve">Category</t>
  </si>
  <si>
    <t xml:space="preserve">Material</t>
  </si>
  <si>
    <t xml:space="preserve">Sustainability_Cert</t>
  </si>
  <si>
    <t xml:space="preserve">MOQ_Units</t>
  </si>
  <si>
    <t xml:space="preserve">MSRP</t>
  </si>
  <si>
    <t xml:space="preserve">Margin_Pct</t>
  </si>
  <si>
    <t xml:space="preserve">In_Denver_Launch</t>
  </si>
  <si>
    <t xml:space="preserve">Denver_Opening_Buy_Units</t>
  </si>
  <si>
    <t xml:space="preserve">Opening_Buy_Cost</t>
  </si>
  <si>
    <t xml:space="preserve">Opening_Buy_Retail_Value</t>
  </si>
  <si>
    <t xml:space="preserve">Order_By_Date</t>
  </si>
  <si>
    <t xml:space="preserve">Days_Until_Order_Deadline</t>
  </si>
  <si>
    <t xml:space="preserve">Notes</t>
  </si>
  <si>
    <t xml:space="preserve">Outerwear</t>
  </si>
  <si>
    <t xml:space="preserve">Recycled fleece</t>
  </si>
  <si>
    <t xml:space="preserve">GRS</t>
  </si>
  <si>
    <t xml:space="preserve">Y</t>
  </si>
  <si>
    <t xml:space="preserve">Recycled denim</t>
  </si>
  <si>
    <t xml:space="preserve">N</t>
  </si>
  <si>
    <t xml:space="preserve">In GreenThreads catalog; stocked at other stores. Not in the Denver launch assortment.</t>
  </si>
  <si>
    <t xml:space="preserve">Tops</t>
  </si>
  <si>
    <t xml:space="preserve">Organic cotton</t>
  </si>
  <si>
    <t xml:space="preserve">GOTS</t>
  </si>
  <si>
    <t xml:space="preserve">Recycled pique</t>
  </si>
  <si>
    <t xml:space="preserve">Bottoms</t>
  </si>
  <si>
    <t xml:space="preserve">Recycled polyester</t>
  </si>
  <si>
    <t xml:space="preserve">Hemp-cotton blend</t>
  </si>
  <si>
    <t xml:space="preserve">OEKO-TEX</t>
  </si>
  <si>
    <t xml:space="preserve">Bamboo viscose</t>
  </si>
  <si>
    <t xml:space="preserve">Store</t>
  </si>
  <si>
    <t xml:space="preserve">Day_Of_Week</t>
  </si>
  <si>
    <t xml:space="preserve">Foot_Traffic</t>
  </si>
  <si>
    <t xml:space="preserve">Transactions</t>
  </si>
  <si>
    <t xml:space="preserve">Units_Sold</t>
  </si>
  <si>
    <t xml:space="preserve">Gross_Sales_USD</t>
  </si>
  <si>
    <t xml:space="preserve">Returns_USD</t>
  </si>
  <si>
    <t xml:space="preserve">Net_Sales_USD</t>
  </si>
  <si>
    <t xml:space="preserve">Avg_Transaction_USD</t>
  </si>
  <si>
    <t xml:space="preserve">Mon</t>
  </si>
  <si>
    <t xml:space="preserve">Tue</t>
  </si>
  <si>
    <t xml:space="preserve">Wed</t>
  </si>
  <si>
    <t xml:space="preserve">Thu</t>
  </si>
  <si>
    <t xml:space="preserve">Fri</t>
  </si>
  <si>
    <t xml:space="preserve">Sat</t>
  </si>
  <si>
    <t xml:space="preserve">Sun</t>
  </si>
  <si>
    <t xml:space="preserve">Supplier Reliability — frequency, severity, active exposure</t>
  </si>
  <si>
    <t xml:space="preserve">Frequency and severity both reported; they answer different questions. Tier flags severity above 3 days.</t>
  </si>
  <si>
    <t xml:space="preserve">As_of_Date:</t>
  </si>
  <si>
    <t xml:space="preserve">Country</t>
  </si>
  <si>
    <t xml:space="preserve">Late (&gt;0d)</t>
  </si>
  <si>
    <t xml:space="preserve">% Late</t>
  </si>
  <si>
    <t xml:space="preserve">Avg Days Late</t>
  </si>
  <si>
    <t xml:space="preserve">Max</t>
  </si>
  <si>
    <t xml:space="preserve">In Transit</t>
  </si>
  <si>
    <t xml:space="preserve">Overdue Now</t>
  </si>
  <si>
    <t xml:space="preserve">Tier</t>
  </si>
  <si>
    <t xml:space="preserve">Both Vietnam suppliers are late on 100% of completed orders. Song Hong's average rests on 12 orders and is directional.</t>
  </si>
  <si>
    <t xml:space="preserve">Margin Economics — pricing a day of lost selling</t>
  </si>
  <si>
    <t xml:space="preserve">Austin store actuals (134 days) give a company-sourced margin rate, replacing the estimated sell-through used previously.</t>
  </si>
  <si>
    <t xml:space="preserve">Metric</t>
  </si>
  <si>
    <t xml:space="preserve">Value</t>
  </si>
  <si>
    <t xml:space="preserve">Source / formula</t>
  </si>
  <si>
    <t xml:space="preserve">Days of Austin data</t>
  </si>
  <si>
    <t xml:space="preserve">Austin Daily, Mar 2 - Jul 13 2026</t>
  </si>
  <si>
    <t xml:space="preserve">Total net sales</t>
  </si>
  <si>
    <t xml:space="preserve">Sum of Net_Sales_USD</t>
  </si>
  <si>
    <t xml:space="preserve">Total COGS</t>
  </si>
  <si>
    <t xml:space="preserve">Sum of COGS_USD</t>
  </si>
  <si>
    <t xml:space="preserve">Total gross margin</t>
  </si>
  <si>
    <t xml:space="preserve">Sum of Gross_Margin_USD</t>
  </si>
  <si>
    <t xml:space="preserve">Realized gross margin %</t>
  </si>
  <si>
    <t xml:space="preserve">Gross margin divided by net sales</t>
  </si>
  <si>
    <t xml:space="preserve">Catalog theoretical margin %</t>
  </si>
  <si>
    <t xml:space="preserve">0.620</t>
  </si>
  <si>
    <t xml:space="preserve">Catalog Margin_Pct average; realized rate closely tracks it</t>
  </si>
  <si>
    <t xml:space="preserve">Avg units sold per day</t>
  </si>
  <si>
    <t xml:space="preserve">Average of Units_Sold</t>
  </si>
  <si>
    <t xml:space="preserve">Avg gross margin per day</t>
  </si>
  <si>
    <t xml:space="preserve">Average of Gross_Margin_USD</t>
  </si>
  <si>
    <t xml:space="preserve">Gross margin per unit sold</t>
  </si>
  <si>
    <t xml:space="preserve">Total margin divided by total units</t>
  </si>
  <si>
    <t xml:space="preserve">Saturday avg gross margin</t>
  </si>
  <si>
    <t xml:space="preserve">Peak-day rate; opening days run above average</t>
  </si>
  <si>
    <t xml:space="preserve">Common unit for the choice set: one day of lost selling at the Austin rate is roughly one average day of gross margin. Austin is an established store, so this is a conservative floor for an opening week, not a forecast.</t>
  </si>
  <si>
    <t xml:space="preserve">Denver Launch Risk</t>
  </si>
  <si>
    <t xml:space="preserve">Launch SKUs mapped to supplier severity, with retail value and margin exposure and carton status.</t>
  </si>
  <si>
    <t xml:space="preserve">Product</t>
  </si>
  <si>
    <t xml:space="preserve">Retail Value</t>
  </si>
  <si>
    <t xml:space="preserve">Unit Margin</t>
  </si>
  <si>
    <t xml:space="preserve">Launch Margin</t>
  </si>
  <si>
    <t xml:space="preserve">Units/Carton</t>
  </si>
  <si>
    <t xml:space="preserve">Cartons</t>
  </si>
  <si>
    <t xml:space="preserve">Margin at Risk</t>
  </si>
  <si>
    <t xml:space="preserve">TOTAL</t>
  </si>
  <si>
    <t xml:space="preserve">Retail value at risk:</t>
  </si>
  <si>
    <t xml:space="preserve">Choice Set &amp; Recommendation</t>
  </si>
  <si>
    <t xml:space="preserve">Assumptions (yellow = estimate or judgment, not measured)</t>
  </si>
  <si>
    <t xml:space="preserve">Common unit</t>
  </si>
  <si>
    <t xml:space="preserve">Days of selling protected, valued at the Austin realized gross-margin rate</t>
  </si>
  <si>
    <t xml:space="preserve">Earliest possible open</t>
  </si>
  <si>
    <t xml:space="preserve">October 13, 2026 — lease delivery Sept 1 plus the 6-week end of the stated build-out window</t>
  </si>
  <si>
    <t xml:space="preserve">Rent clock</t>
  </si>
  <si>
    <t xml:space="preserve">Begins October 31 regardless of whether the store has opened (lease §4.2)</t>
  </si>
  <si>
    <t xml:space="preserve">Supplier slip</t>
  </si>
  <si>
    <t xml:space="preserve">Song Hong ~12 days, Mekong ~7 days, from their own completed-order history</t>
  </si>
  <si>
    <t xml:space="preserve">Freight and duty</t>
  </si>
  <si>
    <t xml:space="preserve">Wholesale cost is merchandise only; landed COGS is higher, so margin shown is gross of both</t>
  </si>
  <si>
    <t xml:space="preserve">Expedite cost</t>
  </si>
  <si>
    <t xml:space="preserve">Quote-based; no freight figure is invented in this analysis</t>
  </si>
  <si>
    <t xml:space="preserve">Options</t>
  </si>
  <si>
    <t xml:space="preserve">Option</t>
  </si>
  <si>
    <t xml:space="preserve">Operating move</t>
  </si>
  <si>
    <t xml:space="preserve">Priced in the common unit</t>
  </si>
  <si>
    <t xml:space="preserve">Trade-off / limitation</t>
  </si>
  <si>
    <t xml:space="preserve">Position</t>
  </si>
  <si>
    <t xml:space="preserve">A. Hold to Oct 12</t>
  </si>
  <si>
    <t xml:space="preserve">Keep the current plan and promised dates; assume the store is ready.</t>
  </si>
  <si>
    <t xml:space="preserve">Protects 0 days. If build-out runs past Oct 12, inventory arrives into a store that cannot open and the full at-risk margin stays exposed.</t>
  </si>
  <si>
    <t xml:space="preserve">No cost today, but plans against a date outside the lease's own window.</t>
  </si>
  <si>
    <t xml:space="preserve">Reject</t>
  </si>
  <si>
    <t xml:space="preserve">B. Control</t>
  </si>
  <si>
    <t xml:space="preserve">Confirm the required in-store date with the Store Manager, require ex-factory, container-load, booking and weekly milestones on both Vietnam POs, and test the SOP two-week buffer.</t>
  </si>
  <si>
    <t xml:space="preserve">Protects the ability to act; buys roughly 2 weeks of decision time at no freight cost.</t>
  </si>
  <si>
    <t xml:space="preserve">Visibility alone creates no backup if a milestone slips.</t>
  </si>
  <si>
    <t xml:space="preserve">Partial</t>
  </si>
  <si>
    <t xml:space="preserve">C. Gate (recommended)</t>
  </si>
  <si>
    <t xml:space="preserve">Adopt B, re-baseline the plan to the confirmed date, secure partial-expedite and backup-source quotes now, and release spend only on a verified trigger. Adopt a standing rule that any supplier averaging over 3 days late gets an automatic two-week buffer.</t>
  </si>
  <si>
    <t xml:space="preserve">Protects the opening-weekend selling days on both at-risk SKUs, valued at the Austin margin rate, while paying expedite only if a trigger fires.</t>
  </si>
  <si>
    <t xml:space="preserve">Requires cross-functional coordination; final cost stays quote-based until a trigger fires.</t>
  </si>
  <si>
    <t xml:space="preserve">APPROVE</t>
  </si>
  <si>
    <t xml:space="preserve">Recommendation: Approve Option C, and treat confirming the required in-store date as the first action. Every downstream date, order-by, buffer, expedite trigger, and staffing plan, is calculated from it, and it is the one input no document in any department currently provides.</t>
  </si>
</sst>
</file>

<file path=xl/styles.xml><?xml version="1.0" encoding="utf-8"?>
<styleSheet xmlns="http://schemas.openxmlformats.org/spreadsheetml/2006/main">
  <numFmts count="8">
    <numFmt numFmtId="164" formatCode="General"/>
    <numFmt numFmtId="165" formatCode="yyyy\-mm\-dd"/>
    <numFmt numFmtId="166" formatCode="0.0%"/>
    <numFmt numFmtId="167" formatCode="0.0"/>
    <numFmt numFmtId="168" formatCode="\$#,##0"/>
    <numFmt numFmtId="169" formatCode="\$#,##0.00"/>
    <numFmt numFmtId="170" formatCode="\$#,##0;;\-"/>
    <numFmt numFmtId="171" formatCode="#,##0"/>
  </numFmts>
  <fonts count="15">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sz val="10"/>
      <name val="Arial"/>
      <family val="0"/>
      <charset val="1"/>
    </font>
    <font>
      <b val="true"/>
      <sz val="11"/>
      <color rgb="FF1F3A5F"/>
      <name val="Arial"/>
      <family val="0"/>
      <charset val="1"/>
    </font>
    <font>
      <b val="true"/>
      <sz val="10"/>
      <color rgb="FFFFFFFF"/>
      <name val="Arial"/>
      <family val="0"/>
      <charset val="1"/>
    </font>
    <font>
      <i val="true"/>
      <sz val="10"/>
      <color rgb="FFC00000"/>
      <name val="Arial"/>
      <family val="0"/>
      <charset val="1"/>
    </font>
    <font>
      <b val="true"/>
      <sz val="10"/>
      <name val="Arial"/>
      <family val="0"/>
      <charset val="1"/>
    </font>
    <font>
      <sz val="10"/>
      <color rgb="FF0000FF"/>
      <name val="Arial"/>
      <family val="0"/>
      <charset val="1"/>
    </font>
    <font>
      <b val="true"/>
      <sz val="10"/>
      <color rgb="FFC00000"/>
      <name val="Arial"/>
      <family val="0"/>
      <charset val="1"/>
    </font>
    <font>
      <b val="true"/>
      <sz val="10"/>
      <color rgb="FF006100"/>
      <name val="Arial"/>
      <family val="0"/>
      <charset val="1"/>
    </font>
    <font>
      <i val="true"/>
      <sz val="10"/>
      <color rgb="FF1F3A5F"/>
      <name val="Arial"/>
      <family val="0"/>
      <charset val="1"/>
    </font>
    <font>
      <b val="true"/>
      <sz val="10"/>
      <color rgb="FF1F3A5F"/>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E9EEF4"/>
        <bgColor rgb="FFE2EFDA"/>
      </patternFill>
    </fill>
    <fill>
      <patternFill patternType="solid">
        <fgColor rgb="FFFFF2CC"/>
        <bgColor rgb="FFFBE4E4"/>
      </patternFill>
    </fill>
    <fill>
      <patternFill patternType="solid">
        <fgColor rgb="FFFBE4E4"/>
        <bgColor rgb="FFFFF2CC"/>
      </patternFill>
    </fill>
    <fill>
      <patternFill patternType="solid">
        <fgColor rgb="FFE2EFDA"/>
        <bgColor rgb="FFE9EEF4"/>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8" fontId="5" fillId="3"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3" borderId="1" xfId="0" applyFont="true" applyBorder="true" applyAlignment="true" applyProtection="false">
      <alignment horizontal="general" vertical="top" textRotation="0" wrapText="true" indent="0" shrinkToFit="false"/>
      <protection locked="true" hidden="false"/>
    </xf>
    <xf numFmtId="169" fontId="5" fillId="3"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70" fontId="5"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BBBBB"/>
      <rgbColor rgb="FF808080"/>
      <rgbColor rgb="FF9999FF"/>
      <rgbColor rgb="FF993366"/>
      <rgbColor rgb="FFFFF2CC"/>
      <rgbColor rgb="FFE9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E4"/>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row>
    <row r="23" customFormat="false" ht="15" hidden="false" customHeight="false" outlineLevel="0" collapsed="false">
      <c r="A23" s="3" t="s">
        <v>18</v>
      </c>
    </row>
    <row r="24" customFormat="false" ht="1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t="s">
        <v>21</v>
      </c>
    </row>
    <row r="27" customFormat="false" ht="15" hidden="false" customHeight="false" outlineLevel="0" collapsed="false">
      <c r="A27" s="2"/>
    </row>
    <row r="28" customFormat="false" ht="15" hidden="false" customHeight="false" outlineLevel="0" collapsed="false">
      <c r="A28" s="3" t="s">
        <v>22</v>
      </c>
    </row>
    <row r="29" customFormat="false" ht="15" hidden="false" customHeight="false" outlineLevel="0" collapsed="false">
      <c r="A29" s="2" t="s">
        <v>23</v>
      </c>
    </row>
    <row r="30" customFormat="false" ht="15" hidden="false" customHeight="false" outlineLevel="0" collapsed="false">
      <c r="A30" s="2" t="s">
        <v>24</v>
      </c>
    </row>
    <row r="31" customFormat="false" ht="15" hidden="false" customHeight="false" outlineLevel="0" collapsed="false">
      <c r="A31" s="2" t="s">
        <v>25</v>
      </c>
    </row>
    <row r="32" customFormat="false" ht="15" hidden="false" customHeight="false" outlineLevel="0" collapsed="false">
      <c r="A32" s="2" t="s">
        <v>26</v>
      </c>
    </row>
    <row r="33" customFormat="false" ht="15" hidden="false" customHeight="false" outlineLevel="0" collapsed="false">
      <c r="A33" s="2" t="s">
        <v>27</v>
      </c>
    </row>
    <row r="34" customFormat="false" ht="15" hidden="false" customHeight="false" outlineLevel="0" collapsed="false">
      <c r="A34" s="2"/>
    </row>
    <row r="35" customFormat="false" ht="15" hidden="false" customHeight="false" outlineLevel="0" collapsed="false">
      <c r="A35" s="3" t="s">
        <v>28</v>
      </c>
    </row>
    <row r="36" customFormat="false" ht="15" hidden="false" customHeight="false" outlineLevel="0" collapsed="false">
      <c r="A36" s="2" t="s">
        <v>29</v>
      </c>
    </row>
    <row r="37" customFormat="false" ht="15" hidden="false" customHeight="false" outlineLevel="0" collapsed="false">
      <c r="A37" s="2" t="s">
        <v>30</v>
      </c>
    </row>
    <row r="38" customFormat="false" ht="15" hidden="false" customHeight="false" outlineLevel="0" collapsed="false">
      <c r="A38" s="2" t="s">
        <v>31</v>
      </c>
    </row>
    <row r="39" customFormat="false" ht="15" hidden="false" customHeight="false" outlineLevel="0" collapsed="false">
      <c r="A39" s="2" t="s">
        <v>32</v>
      </c>
    </row>
    <row r="40" customFormat="false" ht="15" hidden="false" customHeight="false" outlineLevel="0" collapsed="false">
      <c r="A40" s="2"/>
    </row>
    <row r="41" customFormat="false" ht="15" hidden="false" customHeight="false" outlineLevel="0" collapsed="false">
      <c r="A41" s="3" t="s">
        <v>33</v>
      </c>
    </row>
    <row r="42" customFormat="false" ht="15" hidden="false" customHeight="false" outlineLevel="0" collapsed="false">
      <c r="A42" s="2" t="s">
        <v>34</v>
      </c>
    </row>
    <row r="43" customFormat="false" ht="15" hidden="false" customHeight="false" outlineLevel="0" collapsed="false">
      <c r="A43" s="2" t="s">
        <v>35</v>
      </c>
    </row>
    <row r="44" customFormat="false" ht="15" hidden="false" customHeight="false" outlineLevel="0" collapsed="false">
      <c r="A44" s="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46"/>
    <col collapsed="false" customWidth="true" hidden="false" outlineLevel="0" max="4" min="4" style="0" width="10"/>
    <col collapsed="false" customWidth="true" hidden="false" outlineLevel="0" max="5" min="5" style="0" width="17"/>
    <col collapsed="false" customWidth="true" hidden="false" outlineLevel="0" max="6" min="6" style="0" width="36"/>
  </cols>
  <sheetData>
    <row r="1" customFormat="false" ht="17.35" hidden="false" customHeight="false" outlineLevel="0" collapsed="false">
      <c r="A1" s="1" t="s">
        <v>37</v>
      </c>
    </row>
    <row r="2" customFormat="false" ht="15" hidden="false" customHeight="false" outlineLevel="0" collapsed="false">
      <c r="A2" s="2" t="s">
        <v>38</v>
      </c>
    </row>
    <row r="4" customFormat="false" ht="15" hidden="false" customHeight="false" outlineLevel="0" collapsed="false">
      <c r="A4" s="4" t="s">
        <v>39</v>
      </c>
      <c r="B4" s="4" t="s">
        <v>40</v>
      </c>
      <c r="C4" s="4" t="s">
        <v>41</v>
      </c>
      <c r="D4" s="4" t="s">
        <v>42</v>
      </c>
      <c r="E4" s="4" t="s">
        <v>43</v>
      </c>
      <c r="F4" s="4" t="s">
        <v>44</v>
      </c>
    </row>
    <row r="5" customFormat="false" ht="15" hidden="false" customHeight="false" outlineLevel="0" collapsed="false">
      <c r="A5" s="5" t="s">
        <v>45</v>
      </c>
      <c r="B5" s="5" t="s">
        <v>46</v>
      </c>
      <c r="C5" s="5" t="s">
        <v>47</v>
      </c>
      <c r="D5" s="5" t="s">
        <v>48</v>
      </c>
      <c r="E5" s="5" t="s">
        <v>49</v>
      </c>
      <c r="F5" s="5" t="s">
        <v>50</v>
      </c>
    </row>
    <row r="6" customFormat="false" ht="15" hidden="false" customHeight="false" outlineLevel="0" collapsed="false">
      <c r="A6" s="6" t="s">
        <v>45</v>
      </c>
      <c r="B6" s="6" t="s">
        <v>51</v>
      </c>
      <c r="C6" s="6" t="s">
        <v>52</v>
      </c>
      <c r="D6" s="6" t="s">
        <v>48</v>
      </c>
      <c r="E6" s="6" t="s">
        <v>49</v>
      </c>
      <c r="F6" s="6" t="s">
        <v>53</v>
      </c>
    </row>
    <row r="7" customFormat="false" ht="15" hidden="false" customHeight="false" outlineLevel="0" collapsed="false">
      <c r="A7" s="5" t="s">
        <v>45</v>
      </c>
      <c r="B7" s="5" t="s">
        <v>54</v>
      </c>
      <c r="C7" s="5" t="s">
        <v>55</v>
      </c>
      <c r="D7" s="5" t="s">
        <v>48</v>
      </c>
      <c r="E7" s="5" t="s">
        <v>56</v>
      </c>
      <c r="F7" s="5" t="s">
        <v>57</v>
      </c>
    </row>
    <row r="8" customFormat="false" ht="15" hidden="false" customHeight="false" outlineLevel="0" collapsed="false">
      <c r="A8" s="6" t="s">
        <v>45</v>
      </c>
      <c r="B8" s="6" t="s">
        <v>58</v>
      </c>
      <c r="C8" s="6" t="s">
        <v>59</v>
      </c>
      <c r="D8" s="6" t="s">
        <v>60</v>
      </c>
      <c r="E8" s="6" t="s">
        <v>61</v>
      </c>
      <c r="F8" s="6" t="s">
        <v>62</v>
      </c>
    </row>
    <row r="9" customFormat="false" ht="15" hidden="false" customHeight="false" outlineLevel="0" collapsed="false">
      <c r="A9" s="5" t="s">
        <v>45</v>
      </c>
      <c r="B9" s="5" t="s">
        <v>63</v>
      </c>
      <c r="C9" s="5" t="s">
        <v>64</v>
      </c>
      <c r="D9" s="5" t="s">
        <v>60</v>
      </c>
      <c r="E9" s="5" t="s">
        <v>65</v>
      </c>
      <c r="F9" s="5" t="s">
        <v>66</v>
      </c>
    </row>
    <row r="10" customFormat="false" ht="15" hidden="false" customHeight="false" outlineLevel="0" collapsed="false">
      <c r="A10" s="6" t="s">
        <v>45</v>
      </c>
      <c r="B10" s="6" t="s">
        <v>67</v>
      </c>
      <c r="C10" s="6" t="s">
        <v>68</v>
      </c>
      <c r="D10" s="6" t="s">
        <v>48</v>
      </c>
      <c r="E10" s="6" t="s">
        <v>67</v>
      </c>
      <c r="F10" s="6" t="s">
        <v>69</v>
      </c>
    </row>
    <row r="11" customFormat="false" ht="15" hidden="false" customHeight="false" outlineLevel="0" collapsed="false">
      <c r="A11" s="5" t="s">
        <v>45</v>
      </c>
      <c r="B11" s="5" t="s">
        <v>70</v>
      </c>
      <c r="C11" s="5" t="s">
        <v>71</v>
      </c>
      <c r="D11" s="5" t="s">
        <v>72</v>
      </c>
      <c r="E11" s="5" t="s">
        <v>73</v>
      </c>
      <c r="F11" s="5" t="s">
        <v>74</v>
      </c>
    </row>
    <row r="12" customFormat="false" ht="15" hidden="false" customHeight="false" outlineLevel="0" collapsed="false">
      <c r="A12" s="6" t="s">
        <v>45</v>
      </c>
      <c r="B12" s="6" t="s">
        <v>75</v>
      </c>
      <c r="C12" s="6" t="s">
        <v>76</v>
      </c>
      <c r="D12" s="6" t="s">
        <v>77</v>
      </c>
      <c r="E12" s="6" t="s">
        <v>78</v>
      </c>
      <c r="F12" s="6" t="s">
        <v>79</v>
      </c>
    </row>
    <row r="13" customFormat="false" ht="23.85" hidden="false" customHeight="false" outlineLevel="0" collapsed="false">
      <c r="A13" s="5" t="s">
        <v>80</v>
      </c>
      <c r="B13" s="5" t="s">
        <v>81</v>
      </c>
      <c r="C13" s="5" t="s">
        <v>82</v>
      </c>
      <c r="D13" s="5" t="s">
        <v>72</v>
      </c>
      <c r="E13" s="5" t="s">
        <v>78</v>
      </c>
      <c r="F13" s="5" t="s">
        <v>83</v>
      </c>
    </row>
    <row r="14" customFormat="false" ht="23.85" hidden="false" customHeight="false" outlineLevel="0" collapsed="false">
      <c r="A14" s="6" t="s">
        <v>84</v>
      </c>
      <c r="B14" s="6" t="s">
        <v>85</v>
      </c>
      <c r="C14" s="6" t="s">
        <v>86</v>
      </c>
      <c r="D14" s="6" t="s">
        <v>87</v>
      </c>
      <c r="E14" s="6" t="s">
        <v>61</v>
      </c>
      <c r="F14" s="6" t="s">
        <v>88</v>
      </c>
    </row>
    <row r="15" customFormat="false" ht="15" hidden="false" customHeight="false" outlineLevel="0" collapsed="false">
      <c r="A15" s="5" t="s">
        <v>84</v>
      </c>
      <c r="B15" s="5" t="s">
        <v>89</v>
      </c>
      <c r="C15" s="5" t="s">
        <v>90</v>
      </c>
      <c r="D15" s="5" t="s">
        <v>87</v>
      </c>
      <c r="E15" s="5" t="s">
        <v>91</v>
      </c>
      <c r="F15" s="5" t="s">
        <v>92</v>
      </c>
    </row>
    <row r="16" customFormat="false" ht="23.85" hidden="false" customHeight="false" outlineLevel="0" collapsed="false">
      <c r="A16" s="6" t="s">
        <v>84</v>
      </c>
      <c r="B16" s="6" t="s">
        <v>93</v>
      </c>
      <c r="C16" s="6" t="s">
        <v>94</v>
      </c>
      <c r="D16" s="6" t="s">
        <v>77</v>
      </c>
      <c r="E16" s="6" t="s">
        <v>61</v>
      </c>
      <c r="F16" s="6" t="s">
        <v>95</v>
      </c>
    </row>
    <row r="17" customFormat="false" ht="23.85" hidden="false" customHeight="false" outlineLevel="0" collapsed="false">
      <c r="A17" s="5" t="s">
        <v>84</v>
      </c>
      <c r="B17" s="5" t="s">
        <v>96</v>
      </c>
      <c r="C17" s="5" t="s">
        <v>97</v>
      </c>
      <c r="D17" s="5" t="s">
        <v>77</v>
      </c>
      <c r="E17" s="5" t="s">
        <v>78</v>
      </c>
      <c r="F17" s="5" t="s">
        <v>79</v>
      </c>
    </row>
    <row r="18" customFormat="false" ht="15" hidden="false" customHeight="false" outlineLevel="0" collapsed="false">
      <c r="A18" s="6" t="s">
        <v>98</v>
      </c>
      <c r="B18" s="6" t="s">
        <v>99</v>
      </c>
      <c r="C18" s="6" t="s">
        <v>100</v>
      </c>
      <c r="D18" s="6" t="s">
        <v>77</v>
      </c>
      <c r="E18" s="6" t="s">
        <v>61</v>
      </c>
      <c r="F18" s="6" t="s">
        <v>101</v>
      </c>
    </row>
    <row r="19" customFormat="false" ht="15" hidden="false" customHeight="false" outlineLevel="0" collapsed="false">
      <c r="A19" s="5" t="s">
        <v>98</v>
      </c>
      <c r="B19" s="5" t="s">
        <v>102</v>
      </c>
      <c r="C19" s="5" t="s">
        <v>103</v>
      </c>
      <c r="D19" s="5" t="s">
        <v>77</v>
      </c>
      <c r="E19" s="5" t="s">
        <v>78</v>
      </c>
      <c r="F19" s="5" t="s">
        <v>104</v>
      </c>
    </row>
    <row r="20" customFormat="false" ht="15" hidden="false" customHeight="false" outlineLevel="0" collapsed="false">
      <c r="A20" s="6" t="s">
        <v>105</v>
      </c>
      <c r="B20" s="6" t="s">
        <v>106</v>
      </c>
      <c r="C20" s="6" t="s">
        <v>107</v>
      </c>
      <c r="D20" s="6" t="s">
        <v>60</v>
      </c>
      <c r="E20" s="6" t="s">
        <v>108</v>
      </c>
      <c r="F20" s="6" t="s">
        <v>109</v>
      </c>
    </row>
    <row r="21" customFormat="false" ht="15" hidden="false" customHeight="false" outlineLevel="0" collapsed="false">
      <c r="A21" s="5" t="s">
        <v>105</v>
      </c>
      <c r="B21" s="5" t="s">
        <v>110</v>
      </c>
      <c r="C21" s="5" t="s">
        <v>111</v>
      </c>
      <c r="D21" s="5" t="s">
        <v>112</v>
      </c>
      <c r="E21" s="5" t="s">
        <v>108</v>
      </c>
      <c r="F21" s="5" t="s">
        <v>113</v>
      </c>
    </row>
    <row r="22" customFormat="false" ht="15" hidden="false" customHeight="false" outlineLevel="0" collapsed="false">
      <c r="A22" s="6" t="s">
        <v>114</v>
      </c>
      <c r="B22" s="6" t="s">
        <v>115</v>
      </c>
      <c r="C22" s="6" t="s">
        <v>116</v>
      </c>
      <c r="D22" s="6" t="s">
        <v>60</v>
      </c>
      <c r="E22" s="6" t="s">
        <v>108</v>
      </c>
      <c r="F22" s="6" t="s">
        <v>117</v>
      </c>
    </row>
    <row r="23" customFormat="false" ht="15" hidden="false" customHeight="false" outlineLevel="0" collapsed="false">
      <c r="A23" s="5" t="s">
        <v>114</v>
      </c>
      <c r="B23" s="5" t="s">
        <v>118</v>
      </c>
      <c r="C23" s="5" t="s">
        <v>119</v>
      </c>
      <c r="D23" s="5" t="s">
        <v>48</v>
      </c>
      <c r="E23" s="5" t="s">
        <v>65</v>
      </c>
      <c r="F23" s="5"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30"/>
    <col collapsed="false" customWidth="true" hidden="false" outlineLevel="0" max="4" min="4" style="0" width="17"/>
    <col collapsed="false" customWidth="true" hidden="false" outlineLevel="0" max="5" min="5" style="0" width="32"/>
    <col collapsed="false" customWidth="true" hidden="false" outlineLevel="0" max="6" min="6" style="0" width="38"/>
  </cols>
  <sheetData>
    <row r="1" customFormat="false" ht="17.35" hidden="false" customHeight="false" outlineLevel="0" collapsed="false">
      <c r="A1" s="1" t="s">
        <v>121</v>
      </c>
    </row>
    <row r="2" customFormat="false" ht="15" hidden="false" customHeight="false" outlineLevel="0" collapsed="false">
      <c r="A2" s="2" t="s">
        <v>122</v>
      </c>
    </row>
    <row r="4" customFormat="false" ht="15" hidden="false" customHeight="false" outlineLevel="0" collapsed="false">
      <c r="A4" s="4" t="s">
        <v>123</v>
      </c>
      <c r="B4" s="4" t="s">
        <v>124</v>
      </c>
      <c r="C4" s="4" t="s">
        <v>125</v>
      </c>
      <c r="D4" s="4" t="s">
        <v>67</v>
      </c>
      <c r="E4" s="4" t="s">
        <v>126</v>
      </c>
      <c r="F4" s="4" t="s">
        <v>127</v>
      </c>
    </row>
    <row r="5" customFormat="false" ht="15" hidden="false" customHeight="false" outlineLevel="0" collapsed="false">
      <c r="A5" s="5" t="s">
        <v>128</v>
      </c>
      <c r="B5" s="5" t="s">
        <v>129</v>
      </c>
      <c r="C5" s="5" t="s">
        <v>130</v>
      </c>
      <c r="D5" s="5" t="s">
        <v>131</v>
      </c>
      <c r="E5" s="5" t="s">
        <v>132</v>
      </c>
      <c r="F5" s="5" t="s">
        <v>133</v>
      </c>
    </row>
    <row r="6" customFormat="false" ht="15" hidden="false" customHeight="false" outlineLevel="0" collapsed="false">
      <c r="A6" s="6" t="s">
        <v>134</v>
      </c>
      <c r="B6" s="6" t="s">
        <v>135</v>
      </c>
      <c r="C6" s="6" t="s">
        <v>136</v>
      </c>
      <c r="D6" s="6" t="s">
        <v>131</v>
      </c>
      <c r="E6" s="6" t="s">
        <v>137</v>
      </c>
      <c r="F6" s="6" t="s">
        <v>138</v>
      </c>
    </row>
    <row r="7" customFormat="false" ht="15" hidden="false" customHeight="false" outlineLevel="0" collapsed="false">
      <c r="A7" s="5" t="s">
        <v>139</v>
      </c>
      <c r="B7" s="5" t="s">
        <v>140</v>
      </c>
      <c r="C7" s="5" t="s">
        <v>141</v>
      </c>
      <c r="D7" s="5" t="s">
        <v>131</v>
      </c>
      <c r="E7" s="5" t="s">
        <v>142</v>
      </c>
      <c r="F7" s="5" t="s">
        <v>143</v>
      </c>
    </row>
    <row r="8" customFormat="false" ht="15" hidden="false" customHeight="false" outlineLevel="0" collapsed="false">
      <c r="A8" s="6" t="s">
        <v>144</v>
      </c>
      <c r="B8" s="6" t="s">
        <v>145</v>
      </c>
      <c r="C8" s="6" t="s">
        <v>146</v>
      </c>
      <c r="D8" s="6" t="s">
        <v>131</v>
      </c>
      <c r="E8" s="6" t="s">
        <v>142</v>
      </c>
      <c r="F8" s="6" t="s">
        <v>147</v>
      </c>
    </row>
    <row r="9" customFormat="false" ht="15" hidden="false" customHeight="false" outlineLevel="0" collapsed="false">
      <c r="A9" s="5" t="s">
        <v>148</v>
      </c>
      <c r="B9" s="5" t="s">
        <v>149</v>
      </c>
      <c r="C9" s="5" t="s">
        <v>150</v>
      </c>
      <c r="D9" s="5" t="s">
        <v>131</v>
      </c>
      <c r="E9" s="5" t="s">
        <v>142</v>
      </c>
      <c r="F9" s="5" t="s">
        <v>151</v>
      </c>
    </row>
    <row r="10" customFormat="false" ht="15" hidden="false" customHeight="false" outlineLevel="0" collapsed="false">
      <c r="A10" s="6" t="s">
        <v>152</v>
      </c>
      <c r="B10" s="6" t="s">
        <v>153</v>
      </c>
      <c r="C10" s="6" t="s">
        <v>154</v>
      </c>
      <c r="D10" s="6" t="s">
        <v>131</v>
      </c>
      <c r="E10" s="6" t="s">
        <v>142</v>
      </c>
      <c r="F10" s="6" t="s">
        <v>155</v>
      </c>
    </row>
    <row r="11" customFormat="false" ht="23.85" hidden="false" customHeight="false" outlineLevel="0" collapsed="false">
      <c r="A11" s="5" t="s">
        <v>156</v>
      </c>
      <c r="B11" s="5" t="s">
        <v>157</v>
      </c>
      <c r="C11" s="5" t="s">
        <v>158</v>
      </c>
      <c r="D11" s="5" t="s">
        <v>131</v>
      </c>
      <c r="E11" s="5" t="s">
        <v>142</v>
      </c>
      <c r="F11" s="5" t="s">
        <v>159</v>
      </c>
    </row>
    <row r="12" customFormat="false" ht="23.85" hidden="false" customHeight="false" outlineLevel="0" collapsed="false">
      <c r="A12" s="6" t="s">
        <v>160</v>
      </c>
      <c r="B12" s="6" t="s">
        <v>161</v>
      </c>
      <c r="C12" s="6" t="s">
        <v>162</v>
      </c>
      <c r="D12" s="6" t="s">
        <v>131</v>
      </c>
      <c r="E12" s="6" t="s">
        <v>142</v>
      </c>
      <c r="F12" s="6" t="s">
        <v>163</v>
      </c>
    </row>
    <row r="13" customFormat="false" ht="23.85" hidden="false" customHeight="false" outlineLevel="0" collapsed="false">
      <c r="A13" s="5" t="s">
        <v>164</v>
      </c>
      <c r="B13" s="5" t="s">
        <v>165</v>
      </c>
      <c r="C13" s="5" t="s">
        <v>166</v>
      </c>
      <c r="D13" s="5" t="s">
        <v>167</v>
      </c>
      <c r="E13" s="5" t="s">
        <v>168</v>
      </c>
      <c r="F13" s="5" t="s">
        <v>169</v>
      </c>
    </row>
    <row r="14" customFormat="false" ht="23.85" hidden="false" customHeight="false" outlineLevel="0" collapsed="false">
      <c r="A14" s="6" t="s">
        <v>170</v>
      </c>
      <c r="B14" s="6" t="s">
        <v>171</v>
      </c>
      <c r="C14" s="6" t="s">
        <v>172</v>
      </c>
      <c r="D14" s="6" t="s">
        <v>173</v>
      </c>
      <c r="E14" s="6" t="s">
        <v>174</v>
      </c>
      <c r="F14" s="6" t="s">
        <v>175</v>
      </c>
    </row>
    <row r="15" customFormat="false" ht="23.85" hidden="false" customHeight="false" outlineLevel="0" collapsed="false">
      <c r="A15" s="7" t="s">
        <v>176</v>
      </c>
      <c r="B15" s="7" t="s">
        <v>177</v>
      </c>
      <c r="C15" s="7" t="s">
        <v>178</v>
      </c>
      <c r="D15" s="7" t="s">
        <v>179</v>
      </c>
      <c r="E15" s="7" t="s">
        <v>180</v>
      </c>
      <c r="F15" s="7" t="s">
        <v>181</v>
      </c>
    </row>
    <row r="16" customFormat="false" ht="23.85" hidden="false" customHeight="false" outlineLevel="0" collapsed="false">
      <c r="A16" s="6" t="s">
        <v>182</v>
      </c>
      <c r="B16" s="6" t="s">
        <v>183</v>
      </c>
      <c r="C16" s="6" t="s">
        <v>184</v>
      </c>
      <c r="D16" s="6" t="s">
        <v>185</v>
      </c>
      <c r="E16" s="6" t="s">
        <v>186</v>
      </c>
      <c r="F16" s="6" t="s">
        <v>187</v>
      </c>
    </row>
    <row r="17" customFormat="false" ht="23.85" hidden="false" customHeight="false" outlineLevel="0" collapsed="false">
      <c r="A17" s="5" t="s">
        <v>188</v>
      </c>
      <c r="B17" s="5" t="s">
        <v>189</v>
      </c>
      <c r="C17" s="5" t="s">
        <v>190</v>
      </c>
      <c r="D17" s="5" t="s">
        <v>185</v>
      </c>
      <c r="E17" s="5" t="s">
        <v>191</v>
      </c>
      <c r="F17" s="5" t="s">
        <v>192</v>
      </c>
    </row>
    <row r="18" customFormat="false" ht="23.85" hidden="false" customHeight="false" outlineLevel="0" collapsed="false">
      <c r="A18" s="6" t="s">
        <v>193</v>
      </c>
      <c r="B18" s="6" t="s">
        <v>194</v>
      </c>
      <c r="C18" s="6" t="s">
        <v>195</v>
      </c>
      <c r="D18" s="6" t="s">
        <v>185</v>
      </c>
      <c r="E18" s="6" t="s">
        <v>196</v>
      </c>
      <c r="F18" s="6" t="s">
        <v>197</v>
      </c>
    </row>
    <row r="19" customFormat="false" ht="35.05" hidden="false" customHeight="false" outlineLevel="0" collapsed="false">
      <c r="A19" s="7" t="s">
        <v>198</v>
      </c>
      <c r="B19" s="7" t="s">
        <v>199</v>
      </c>
      <c r="C19" s="7" t="s">
        <v>200</v>
      </c>
      <c r="D19" s="7" t="s">
        <v>201</v>
      </c>
      <c r="E19" s="7" t="s">
        <v>202</v>
      </c>
      <c r="F19" s="7" t="s">
        <v>203</v>
      </c>
    </row>
    <row r="20" customFormat="false" ht="23.85" hidden="false" customHeight="false" outlineLevel="0" collapsed="false">
      <c r="A20" s="7" t="s">
        <v>204</v>
      </c>
      <c r="B20" s="7" t="s">
        <v>205</v>
      </c>
      <c r="C20" s="7" t="s">
        <v>206</v>
      </c>
      <c r="D20" s="7" t="s">
        <v>207</v>
      </c>
      <c r="E20" s="7" t="s">
        <v>208</v>
      </c>
      <c r="F20" s="7"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44"/>
    <col collapsed="false" customWidth="true" hidden="false" outlineLevel="0" max="5" min="4" style="0" width="20"/>
  </cols>
  <sheetData>
    <row r="1" customFormat="false" ht="17.35" hidden="false" customHeight="false" outlineLevel="0" collapsed="false">
      <c r="A1" s="1" t="s">
        <v>210</v>
      </c>
    </row>
    <row r="2" customFormat="false" ht="15" hidden="false" customHeight="false" outlineLevel="0" collapsed="false">
      <c r="A2" s="2" t="s">
        <v>211</v>
      </c>
    </row>
    <row r="4" customFormat="false" ht="15" hidden="false" customHeight="false" outlineLevel="0" collapsed="false">
      <c r="A4" s="4" t="s">
        <v>212</v>
      </c>
      <c r="B4" s="4" t="s">
        <v>213</v>
      </c>
      <c r="C4" s="4" t="s">
        <v>214</v>
      </c>
      <c r="D4" s="4" t="s">
        <v>215</v>
      </c>
      <c r="E4" s="4" t="s">
        <v>67</v>
      </c>
    </row>
    <row r="5" customFormat="false" ht="23.85" hidden="false" customHeight="false" outlineLevel="0" collapsed="false">
      <c r="A5" s="5" t="s">
        <v>216</v>
      </c>
      <c r="B5" s="5" t="s">
        <v>217</v>
      </c>
      <c r="C5" s="5" t="s">
        <v>218</v>
      </c>
      <c r="D5" s="5" t="s">
        <v>219</v>
      </c>
      <c r="E5" s="5" t="s">
        <v>220</v>
      </c>
    </row>
    <row r="6" customFormat="false" ht="15" hidden="false" customHeight="false" outlineLevel="0" collapsed="false">
      <c r="A6" s="6" t="s">
        <v>221</v>
      </c>
      <c r="B6" s="6" t="s">
        <v>222</v>
      </c>
      <c r="C6" s="6" t="s">
        <v>223</v>
      </c>
      <c r="D6" s="6" t="s">
        <v>224</v>
      </c>
      <c r="E6" s="6" t="s">
        <v>225</v>
      </c>
    </row>
    <row r="7" customFormat="false" ht="15" hidden="false" customHeight="false" outlineLevel="0" collapsed="false">
      <c r="A7" s="8" t="s">
        <v>226</v>
      </c>
      <c r="B7" s="8" t="s">
        <v>222</v>
      </c>
      <c r="C7" s="8" t="s">
        <v>227</v>
      </c>
      <c r="D7" s="8" t="s">
        <v>228</v>
      </c>
      <c r="E7" s="8" t="s">
        <v>229</v>
      </c>
    </row>
    <row r="8" customFormat="false" ht="23.85" hidden="false" customHeight="false" outlineLevel="0" collapsed="false">
      <c r="A8" s="6" t="s">
        <v>230</v>
      </c>
      <c r="B8" s="6" t="s">
        <v>222</v>
      </c>
      <c r="C8" s="6" t="s">
        <v>231</v>
      </c>
      <c r="D8" s="6" t="s">
        <v>232</v>
      </c>
      <c r="E8" s="6" t="s">
        <v>233</v>
      </c>
    </row>
    <row r="9" customFormat="false" ht="23.85" hidden="false" customHeight="false" outlineLevel="0" collapsed="false">
      <c r="A9" s="5" t="s">
        <v>234</v>
      </c>
      <c r="B9" s="5" t="s">
        <v>114</v>
      </c>
      <c r="C9" s="5" t="s">
        <v>235</v>
      </c>
      <c r="D9" s="5" t="s">
        <v>219</v>
      </c>
      <c r="E9" s="5" t="s">
        <v>236</v>
      </c>
    </row>
    <row r="10" customFormat="false" ht="23.85" hidden="false" customHeight="false" outlineLevel="0" collapsed="false">
      <c r="A10" s="6" t="s">
        <v>237</v>
      </c>
      <c r="B10" s="6" t="s">
        <v>217</v>
      </c>
      <c r="C10" s="6" t="s">
        <v>238</v>
      </c>
      <c r="D10" s="6" t="s">
        <v>239</v>
      </c>
      <c r="E10" s="6" t="s">
        <v>240</v>
      </c>
    </row>
    <row r="11" customFormat="false" ht="15" hidden="false" customHeight="false" outlineLevel="0" collapsed="false">
      <c r="A11" s="8" t="s">
        <v>205</v>
      </c>
      <c r="B11" s="8" t="s">
        <v>241</v>
      </c>
      <c r="C11" s="8" t="s">
        <v>242</v>
      </c>
      <c r="D11" s="8" t="s">
        <v>243</v>
      </c>
      <c r="E11" s="8" t="s">
        <v>207</v>
      </c>
    </row>
    <row r="13" customFormat="false" ht="57.75" hidden="false" customHeight="true" outlineLevel="0" collapsed="false">
      <c r="A13" s="9" t="s">
        <v>244</v>
      </c>
      <c r="B13" s="9"/>
      <c r="C13" s="9"/>
      <c r="D13" s="9"/>
      <c r="E13" s="9"/>
    </row>
  </sheetData>
  <mergeCells count="1">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5"/>
    <col collapsed="false" customWidth="true" hidden="false" outlineLevel="0" max="4" min="4" style="0" width="11"/>
    <col collapsed="false" customWidth="true" hidden="false" outlineLevel="0" max="5" min="5" style="0" width="19"/>
    <col collapsed="false" customWidth="true" hidden="false" outlineLevel="0" max="6" min="6" style="0" width="20"/>
    <col collapsed="false" customWidth="true" hidden="false" outlineLevel="0" max="7" min="7" style="0" width="13"/>
    <col collapsed="false" customWidth="true" hidden="false" outlineLevel="0" max="8" min="8" style="0" width="16"/>
    <col collapsed="false" customWidth="true" hidden="false" outlineLevel="0" max="9" min="9" style="0" width="20"/>
    <col collapsed="false" customWidth="true" hidden="false" outlineLevel="0" max="10" min="10" style="0" width="11"/>
    <col collapsed="false" customWidth="true" hidden="false" outlineLevel="0" max="11" min="11" style="0" width="12"/>
    <col collapsed="false" customWidth="true" hidden="false" outlineLevel="0" max="12" min="12" style="0" width="11"/>
    <col collapsed="false" customWidth="true" hidden="false" outlineLevel="0" max="14" min="13" style="0" width="12"/>
  </cols>
  <sheetData>
    <row r="1" customFormat="false" ht="15" hidden="false" customHeight="false" outlineLevel="0" collapsed="false">
      <c r="A1" s="10" t="s">
        <v>46</v>
      </c>
      <c r="B1" s="10" t="s">
        <v>51</v>
      </c>
      <c r="C1" s="10" t="s">
        <v>245</v>
      </c>
      <c r="D1" s="10" t="s">
        <v>54</v>
      </c>
      <c r="E1" s="10" t="s">
        <v>246</v>
      </c>
      <c r="F1" s="10" t="s">
        <v>247</v>
      </c>
      <c r="G1" s="10" t="s">
        <v>248</v>
      </c>
      <c r="H1" s="10" t="s">
        <v>58</v>
      </c>
      <c r="I1" s="10" t="s">
        <v>63</v>
      </c>
      <c r="J1" s="10" t="s">
        <v>67</v>
      </c>
      <c r="K1" s="10" t="s">
        <v>70</v>
      </c>
      <c r="L1" s="10" t="s">
        <v>249</v>
      </c>
      <c r="M1" s="10" t="s">
        <v>250</v>
      </c>
      <c r="N1" s="10" t="s">
        <v>75</v>
      </c>
    </row>
    <row r="2" customFormat="false" ht="15" hidden="false" customHeight="false" outlineLevel="0" collapsed="false">
      <c r="A2" s="2" t="s">
        <v>251</v>
      </c>
      <c r="B2" s="2" t="s">
        <v>252</v>
      </c>
      <c r="C2" s="2" t="s">
        <v>253</v>
      </c>
      <c r="D2" s="2" t="s">
        <v>254</v>
      </c>
      <c r="E2" s="2" t="s">
        <v>255</v>
      </c>
      <c r="F2" s="2" t="s">
        <v>256</v>
      </c>
      <c r="G2" s="11" t="n">
        <v>46064</v>
      </c>
      <c r="H2" s="11" t="n">
        <v>46124</v>
      </c>
      <c r="I2" s="11" t="n">
        <v>46132</v>
      </c>
      <c r="J2" s="2" t="s">
        <v>257</v>
      </c>
      <c r="K2" s="2" t="n">
        <v>8</v>
      </c>
      <c r="L2" s="2" t="n">
        <v>400</v>
      </c>
      <c r="M2" s="2" t="n">
        <v>26</v>
      </c>
      <c r="N2" s="2" t="n">
        <v>10400</v>
      </c>
    </row>
    <row r="3" customFormat="false" ht="15" hidden="false" customHeight="false" outlineLevel="0" collapsed="false">
      <c r="A3" s="2" t="s">
        <v>258</v>
      </c>
      <c r="B3" s="2" t="s">
        <v>259</v>
      </c>
      <c r="C3" s="2" t="s">
        <v>260</v>
      </c>
      <c r="D3" s="2" t="s">
        <v>261</v>
      </c>
      <c r="E3" s="2" t="s">
        <v>262</v>
      </c>
      <c r="F3" s="2" t="s">
        <v>263</v>
      </c>
      <c r="G3" s="11" t="n">
        <v>46007</v>
      </c>
      <c r="H3" s="11" t="n">
        <v>46037</v>
      </c>
      <c r="I3" s="11" t="n">
        <v>46037</v>
      </c>
      <c r="J3" s="2" t="s">
        <v>257</v>
      </c>
      <c r="K3" s="2" t="n">
        <v>0</v>
      </c>
      <c r="L3" s="2" t="n">
        <v>600</v>
      </c>
      <c r="M3" s="2" t="n">
        <v>46</v>
      </c>
      <c r="N3" s="2" t="n">
        <v>27600</v>
      </c>
    </row>
    <row r="4" customFormat="false" ht="15" hidden="false" customHeight="false" outlineLevel="0" collapsed="false">
      <c r="A4" s="2" t="s">
        <v>264</v>
      </c>
      <c r="B4" s="2" t="s">
        <v>265</v>
      </c>
      <c r="C4" s="2" t="s">
        <v>266</v>
      </c>
      <c r="D4" s="2" t="s">
        <v>267</v>
      </c>
      <c r="E4" s="2" t="s">
        <v>255</v>
      </c>
      <c r="F4" s="2" t="s">
        <v>268</v>
      </c>
      <c r="G4" s="11" t="n">
        <v>46162</v>
      </c>
      <c r="H4" s="11" t="n">
        <v>46227</v>
      </c>
      <c r="I4" s="2"/>
      <c r="J4" s="2" t="s">
        <v>269</v>
      </c>
      <c r="K4" s="2"/>
      <c r="L4" s="2" t="n">
        <v>600</v>
      </c>
      <c r="M4" s="2" t="n">
        <v>30</v>
      </c>
      <c r="N4" s="2" t="n">
        <v>18000</v>
      </c>
    </row>
    <row r="5" customFormat="false" ht="15" hidden="false" customHeight="false" outlineLevel="0" collapsed="false">
      <c r="A5" s="2" t="s">
        <v>270</v>
      </c>
      <c r="B5" s="2" t="s">
        <v>265</v>
      </c>
      <c r="C5" s="2" t="s">
        <v>266</v>
      </c>
      <c r="D5" s="2" t="s">
        <v>267</v>
      </c>
      <c r="E5" s="2" t="s">
        <v>255</v>
      </c>
      <c r="F5" s="2" t="s">
        <v>271</v>
      </c>
      <c r="G5" s="11" t="n">
        <v>46027</v>
      </c>
      <c r="H5" s="11" t="n">
        <v>46092</v>
      </c>
      <c r="I5" s="11" t="n">
        <v>46105</v>
      </c>
      <c r="J5" s="2" t="s">
        <v>257</v>
      </c>
      <c r="K5" s="2" t="n">
        <v>13</v>
      </c>
      <c r="L5" s="2" t="n">
        <v>200</v>
      </c>
      <c r="M5" s="2" t="n">
        <v>30</v>
      </c>
      <c r="N5" s="2" t="n">
        <v>6000</v>
      </c>
    </row>
    <row r="6" customFormat="false" ht="15" hidden="false" customHeight="false" outlineLevel="0" collapsed="false">
      <c r="A6" s="2" t="s">
        <v>272</v>
      </c>
      <c r="B6" s="2" t="s">
        <v>273</v>
      </c>
      <c r="C6" s="2" t="s">
        <v>274</v>
      </c>
      <c r="D6" s="2" t="s">
        <v>275</v>
      </c>
      <c r="E6" s="2" t="s">
        <v>276</v>
      </c>
      <c r="F6" s="2" t="s">
        <v>277</v>
      </c>
      <c r="G6" s="11" t="n">
        <v>46186</v>
      </c>
      <c r="H6" s="11" t="n">
        <v>46231</v>
      </c>
      <c r="I6" s="2"/>
      <c r="J6" s="2" t="s">
        <v>269</v>
      </c>
      <c r="K6" s="2"/>
      <c r="L6" s="2" t="n">
        <v>250</v>
      </c>
      <c r="M6" s="2" t="n">
        <v>11</v>
      </c>
      <c r="N6" s="2" t="n">
        <v>2750</v>
      </c>
    </row>
    <row r="7" customFormat="false" ht="15" hidden="false" customHeight="false" outlineLevel="0" collapsed="false">
      <c r="A7" s="2" t="s">
        <v>278</v>
      </c>
      <c r="B7" s="2" t="s">
        <v>279</v>
      </c>
      <c r="C7" s="2" t="s">
        <v>280</v>
      </c>
      <c r="D7" s="2" t="s">
        <v>275</v>
      </c>
      <c r="E7" s="2" t="s">
        <v>276</v>
      </c>
      <c r="F7" s="2" t="s">
        <v>271</v>
      </c>
      <c r="G7" s="11" t="n">
        <v>46102</v>
      </c>
      <c r="H7" s="11" t="n">
        <v>46147</v>
      </c>
      <c r="I7" s="11" t="n">
        <v>46147</v>
      </c>
      <c r="J7" s="2" t="s">
        <v>257</v>
      </c>
      <c r="K7" s="2" t="n">
        <v>0</v>
      </c>
      <c r="L7" s="2" t="n">
        <v>150</v>
      </c>
      <c r="M7" s="2" t="n">
        <v>19.5</v>
      </c>
      <c r="N7" s="2" t="n">
        <v>2925</v>
      </c>
    </row>
    <row r="8" customFormat="false" ht="15" hidden="false" customHeight="false" outlineLevel="0" collapsed="false">
      <c r="A8" s="2" t="s">
        <v>281</v>
      </c>
      <c r="B8" s="2" t="s">
        <v>279</v>
      </c>
      <c r="C8" s="2" t="s">
        <v>280</v>
      </c>
      <c r="D8" s="2" t="s">
        <v>275</v>
      </c>
      <c r="E8" s="2" t="s">
        <v>276</v>
      </c>
      <c r="F8" s="2" t="s">
        <v>263</v>
      </c>
      <c r="G8" s="11" t="n">
        <v>46130</v>
      </c>
      <c r="H8" s="11" t="n">
        <v>46175</v>
      </c>
      <c r="I8" s="11" t="n">
        <v>46175</v>
      </c>
      <c r="J8" s="2" t="s">
        <v>257</v>
      </c>
      <c r="K8" s="2" t="n">
        <v>0</v>
      </c>
      <c r="L8" s="2" t="n">
        <v>500</v>
      </c>
      <c r="M8" s="2" t="n">
        <v>19.5</v>
      </c>
      <c r="N8" s="2" t="n">
        <v>9750</v>
      </c>
    </row>
    <row r="9" customFormat="false" ht="15" hidden="false" customHeight="false" outlineLevel="0" collapsed="false">
      <c r="A9" s="2" t="s">
        <v>282</v>
      </c>
      <c r="B9" s="2" t="s">
        <v>265</v>
      </c>
      <c r="C9" s="2" t="s">
        <v>266</v>
      </c>
      <c r="D9" s="2" t="s">
        <v>267</v>
      </c>
      <c r="E9" s="2" t="s">
        <v>255</v>
      </c>
      <c r="F9" s="2" t="s">
        <v>283</v>
      </c>
      <c r="G9" s="11" t="n">
        <v>46111</v>
      </c>
      <c r="H9" s="11" t="n">
        <v>46176</v>
      </c>
      <c r="I9" s="11" t="n">
        <v>46187</v>
      </c>
      <c r="J9" s="2" t="s">
        <v>257</v>
      </c>
      <c r="K9" s="2" t="n">
        <v>11</v>
      </c>
      <c r="L9" s="2" t="n">
        <v>250</v>
      </c>
      <c r="M9" s="2" t="n">
        <v>30</v>
      </c>
      <c r="N9" s="2" t="n">
        <v>7500</v>
      </c>
    </row>
    <row r="10" customFormat="false" ht="15" hidden="false" customHeight="false" outlineLevel="0" collapsed="false">
      <c r="A10" s="2" t="s">
        <v>284</v>
      </c>
      <c r="B10" s="2" t="s">
        <v>259</v>
      </c>
      <c r="C10" s="2" t="s">
        <v>260</v>
      </c>
      <c r="D10" s="2" t="s">
        <v>261</v>
      </c>
      <c r="E10" s="2" t="s">
        <v>262</v>
      </c>
      <c r="F10" s="2" t="s">
        <v>285</v>
      </c>
      <c r="G10" s="11" t="n">
        <v>46109</v>
      </c>
      <c r="H10" s="11" t="n">
        <v>46139</v>
      </c>
      <c r="I10" s="11" t="n">
        <v>46140</v>
      </c>
      <c r="J10" s="2" t="s">
        <v>257</v>
      </c>
      <c r="K10" s="2" t="n">
        <v>1</v>
      </c>
      <c r="L10" s="2" t="n">
        <v>500</v>
      </c>
      <c r="M10" s="2" t="n">
        <v>46</v>
      </c>
      <c r="N10" s="2" t="n">
        <v>23000</v>
      </c>
    </row>
    <row r="11" customFormat="false" ht="15" hidden="false" customHeight="false" outlineLevel="0" collapsed="false">
      <c r="A11" s="2" t="s">
        <v>286</v>
      </c>
      <c r="B11" s="2" t="s">
        <v>287</v>
      </c>
      <c r="C11" s="2" t="s">
        <v>288</v>
      </c>
      <c r="D11" s="2" t="s">
        <v>254</v>
      </c>
      <c r="E11" s="2" t="s">
        <v>255</v>
      </c>
      <c r="F11" s="2" t="s">
        <v>271</v>
      </c>
      <c r="G11" s="11" t="n">
        <v>46169</v>
      </c>
      <c r="H11" s="11" t="n">
        <v>46229</v>
      </c>
      <c r="I11" s="2"/>
      <c r="J11" s="2" t="s">
        <v>269</v>
      </c>
      <c r="K11" s="2"/>
      <c r="L11" s="2" t="n">
        <v>500</v>
      </c>
      <c r="M11" s="2" t="n">
        <v>22</v>
      </c>
      <c r="N11" s="2" t="n">
        <v>11000</v>
      </c>
    </row>
    <row r="12" customFormat="false" ht="15" hidden="false" customHeight="false" outlineLevel="0" collapsed="false">
      <c r="A12" s="2" t="s">
        <v>289</v>
      </c>
      <c r="B12" s="2" t="s">
        <v>265</v>
      </c>
      <c r="C12" s="2" t="s">
        <v>266</v>
      </c>
      <c r="D12" s="2" t="s">
        <v>267</v>
      </c>
      <c r="E12" s="2" t="s">
        <v>255</v>
      </c>
      <c r="F12" s="2" t="s">
        <v>290</v>
      </c>
      <c r="G12" s="11" t="n">
        <v>46059</v>
      </c>
      <c r="H12" s="11" t="n">
        <v>46124</v>
      </c>
      <c r="I12" s="11" t="n">
        <v>46137</v>
      </c>
      <c r="J12" s="2" t="s">
        <v>257</v>
      </c>
      <c r="K12" s="2" t="n">
        <v>13</v>
      </c>
      <c r="L12" s="2" t="n">
        <v>250</v>
      </c>
      <c r="M12" s="2" t="n">
        <v>30</v>
      </c>
      <c r="N12" s="2" t="n">
        <v>7500</v>
      </c>
    </row>
    <row r="13" customFormat="false" ht="15" hidden="false" customHeight="false" outlineLevel="0" collapsed="false">
      <c r="A13" s="2" t="s">
        <v>291</v>
      </c>
      <c r="B13" s="2" t="s">
        <v>273</v>
      </c>
      <c r="C13" s="2" t="s">
        <v>274</v>
      </c>
      <c r="D13" s="2" t="s">
        <v>275</v>
      </c>
      <c r="E13" s="2" t="s">
        <v>276</v>
      </c>
      <c r="F13" s="2" t="s">
        <v>263</v>
      </c>
      <c r="G13" s="11" t="n">
        <v>46017</v>
      </c>
      <c r="H13" s="11" t="n">
        <v>46062</v>
      </c>
      <c r="I13" s="11" t="n">
        <v>46063</v>
      </c>
      <c r="J13" s="2" t="s">
        <v>257</v>
      </c>
      <c r="K13" s="2" t="n">
        <v>1</v>
      </c>
      <c r="L13" s="2" t="n">
        <v>600</v>
      </c>
      <c r="M13" s="2" t="n">
        <v>11</v>
      </c>
      <c r="N13" s="2" t="n">
        <v>6600</v>
      </c>
    </row>
    <row r="14" customFormat="false" ht="15" hidden="false" customHeight="false" outlineLevel="0" collapsed="false">
      <c r="A14" s="2" t="s">
        <v>292</v>
      </c>
      <c r="B14" s="2" t="s">
        <v>287</v>
      </c>
      <c r="C14" s="2" t="s">
        <v>288</v>
      </c>
      <c r="D14" s="2" t="s">
        <v>254</v>
      </c>
      <c r="E14" s="2" t="s">
        <v>255</v>
      </c>
      <c r="F14" s="2" t="s">
        <v>293</v>
      </c>
      <c r="G14" s="11" t="n">
        <v>46101</v>
      </c>
      <c r="H14" s="11" t="n">
        <v>46161</v>
      </c>
      <c r="I14" s="11" t="n">
        <v>46173</v>
      </c>
      <c r="J14" s="2" t="s">
        <v>257</v>
      </c>
      <c r="K14" s="2" t="n">
        <v>12</v>
      </c>
      <c r="L14" s="2" t="n">
        <v>400</v>
      </c>
      <c r="M14" s="2" t="n">
        <v>22</v>
      </c>
      <c r="N14" s="2" t="n">
        <v>8800</v>
      </c>
    </row>
    <row r="15" customFormat="false" ht="15" hidden="false" customHeight="false" outlineLevel="0" collapsed="false">
      <c r="A15" s="2" t="s">
        <v>294</v>
      </c>
      <c r="B15" s="2" t="s">
        <v>279</v>
      </c>
      <c r="C15" s="2" t="s">
        <v>280</v>
      </c>
      <c r="D15" s="2" t="s">
        <v>275</v>
      </c>
      <c r="E15" s="2" t="s">
        <v>276</v>
      </c>
      <c r="F15" s="2" t="s">
        <v>295</v>
      </c>
      <c r="G15" s="11" t="n">
        <v>46165</v>
      </c>
      <c r="H15" s="11" t="n">
        <v>46210</v>
      </c>
      <c r="I15" s="11" t="n">
        <v>46210</v>
      </c>
      <c r="J15" s="2" t="s">
        <v>257</v>
      </c>
      <c r="K15" s="2" t="n">
        <v>0</v>
      </c>
      <c r="L15" s="2" t="n">
        <v>400</v>
      </c>
      <c r="M15" s="2" t="n">
        <v>19.5</v>
      </c>
      <c r="N15" s="2" t="n">
        <v>7800</v>
      </c>
    </row>
    <row r="16" customFormat="false" ht="15" hidden="false" customHeight="false" outlineLevel="0" collapsed="false">
      <c r="A16" s="2" t="s">
        <v>296</v>
      </c>
      <c r="B16" s="2" t="s">
        <v>265</v>
      </c>
      <c r="C16" s="2" t="s">
        <v>266</v>
      </c>
      <c r="D16" s="2" t="s">
        <v>267</v>
      </c>
      <c r="E16" s="2" t="s">
        <v>255</v>
      </c>
      <c r="F16" s="2" t="s">
        <v>256</v>
      </c>
      <c r="G16" s="11" t="n">
        <v>46063</v>
      </c>
      <c r="H16" s="11" t="n">
        <v>46128</v>
      </c>
      <c r="I16" s="11" t="n">
        <v>46139</v>
      </c>
      <c r="J16" s="2" t="s">
        <v>257</v>
      </c>
      <c r="K16" s="2" t="n">
        <v>11</v>
      </c>
      <c r="L16" s="2" t="n">
        <v>150</v>
      </c>
      <c r="M16" s="2" t="n">
        <v>30</v>
      </c>
      <c r="N16" s="2" t="n">
        <v>4500</v>
      </c>
    </row>
    <row r="17" customFormat="false" ht="15" hidden="false" customHeight="false" outlineLevel="0" collapsed="false">
      <c r="A17" s="2" t="s">
        <v>297</v>
      </c>
      <c r="B17" s="2" t="s">
        <v>287</v>
      </c>
      <c r="C17" s="2" t="s">
        <v>288</v>
      </c>
      <c r="D17" s="2" t="s">
        <v>254</v>
      </c>
      <c r="E17" s="2" t="s">
        <v>255</v>
      </c>
      <c r="F17" s="2" t="s">
        <v>295</v>
      </c>
      <c r="G17" s="11" t="n">
        <v>46122</v>
      </c>
      <c r="H17" s="11" t="n">
        <v>46182</v>
      </c>
      <c r="I17" s="11" t="n">
        <v>46188</v>
      </c>
      <c r="J17" s="2" t="s">
        <v>257</v>
      </c>
      <c r="K17" s="2" t="n">
        <v>6</v>
      </c>
      <c r="L17" s="2" t="n">
        <v>300</v>
      </c>
      <c r="M17" s="2" t="n">
        <v>22</v>
      </c>
      <c r="N17" s="2" t="n">
        <v>6600</v>
      </c>
    </row>
    <row r="18" customFormat="false" ht="15" hidden="false" customHeight="false" outlineLevel="0" collapsed="false">
      <c r="A18" s="2" t="s">
        <v>298</v>
      </c>
      <c r="B18" s="2" t="s">
        <v>252</v>
      </c>
      <c r="C18" s="2" t="s">
        <v>253</v>
      </c>
      <c r="D18" s="2" t="s">
        <v>254</v>
      </c>
      <c r="E18" s="2" t="s">
        <v>255</v>
      </c>
      <c r="F18" s="2" t="s">
        <v>271</v>
      </c>
      <c r="G18" s="11" t="n">
        <v>46118</v>
      </c>
      <c r="H18" s="11" t="n">
        <v>46178</v>
      </c>
      <c r="I18" s="11" t="n">
        <v>46183</v>
      </c>
      <c r="J18" s="2" t="s">
        <v>257</v>
      </c>
      <c r="K18" s="2" t="n">
        <v>5</v>
      </c>
      <c r="L18" s="2" t="n">
        <v>250</v>
      </c>
      <c r="M18" s="2" t="n">
        <v>26</v>
      </c>
      <c r="N18" s="2" t="n">
        <v>6500</v>
      </c>
    </row>
    <row r="19" customFormat="false" ht="15" hidden="false" customHeight="false" outlineLevel="0" collapsed="false">
      <c r="A19" s="2" t="s">
        <v>299</v>
      </c>
      <c r="B19" s="2" t="s">
        <v>265</v>
      </c>
      <c r="C19" s="2" t="s">
        <v>266</v>
      </c>
      <c r="D19" s="2" t="s">
        <v>267</v>
      </c>
      <c r="E19" s="2" t="s">
        <v>255</v>
      </c>
      <c r="F19" s="2" t="s">
        <v>300</v>
      </c>
      <c r="G19" s="11" t="n">
        <v>46007</v>
      </c>
      <c r="H19" s="11" t="n">
        <v>46072</v>
      </c>
      <c r="I19" s="11" t="n">
        <v>46079</v>
      </c>
      <c r="J19" s="2" t="s">
        <v>257</v>
      </c>
      <c r="K19" s="2" t="n">
        <v>7</v>
      </c>
      <c r="L19" s="2" t="n">
        <v>200</v>
      </c>
      <c r="M19" s="2" t="n">
        <v>30</v>
      </c>
      <c r="N19" s="2" t="n">
        <v>6000</v>
      </c>
    </row>
    <row r="20" customFormat="false" ht="15" hidden="false" customHeight="false" outlineLevel="0" collapsed="false">
      <c r="A20" s="2" t="s">
        <v>301</v>
      </c>
      <c r="B20" s="2" t="s">
        <v>265</v>
      </c>
      <c r="C20" s="2" t="s">
        <v>266</v>
      </c>
      <c r="D20" s="2" t="s">
        <v>267</v>
      </c>
      <c r="E20" s="2" t="s">
        <v>255</v>
      </c>
      <c r="F20" s="2" t="s">
        <v>283</v>
      </c>
      <c r="G20" s="11" t="n">
        <v>46029</v>
      </c>
      <c r="H20" s="11" t="n">
        <v>46094</v>
      </c>
      <c r="I20" s="11" t="n">
        <v>46113</v>
      </c>
      <c r="J20" s="2" t="s">
        <v>257</v>
      </c>
      <c r="K20" s="2" t="n">
        <v>19</v>
      </c>
      <c r="L20" s="2" t="n">
        <v>600</v>
      </c>
      <c r="M20" s="2" t="n">
        <v>30</v>
      </c>
      <c r="N20" s="2" t="n">
        <v>18000</v>
      </c>
    </row>
    <row r="21" customFormat="false" ht="15" hidden="false" customHeight="false" outlineLevel="0" collapsed="false">
      <c r="A21" s="2" t="s">
        <v>302</v>
      </c>
      <c r="B21" s="2" t="s">
        <v>265</v>
      </c>
      <c r="C21" s="2" t="s">
        <v>266</v>
      </c>
      <c r="D21" s="2" t="s">
        <v>267</v>
      </c>
      <c r="E21" s="2" t="s">
        <v>255</v>
      </c>
      <c r="F21" s="2" t="s">
        <v>293</v>
      </c>
      <c r="G21" s="11" t="n">
        <v>46187</v>
      </c>
      <c r="H21" s="11" t="n">
        <v>46252</v>
      </c>
      <c r="I21" s="2"/>
      <c r="J21" s="2" t="s">
        <v>269</v>
      </c>
      <c r="K21" s="2"/>
      <c r="L21" s="2" t="n">
        <v>250</v>
      </c>
      <c r="M21" s="2" t="n">
        <v>30</v>
      </c>
      <c r="N21" s="2" t="n">
        <v>7500</v>
      </c>
    </row>
    <row r="22" customFormat="false" ht="15" hidden="false" customHeight="false" outlineLevel="0" collapsed="false">
      <c r="A22" s="2" t="s">
        <v>303</v>
      </c>
      <c r="B22" s="2" t="s">
        <v>304</v>
      </c>
      <c r="C22" s="2" t="s">
        <v>305</v>
      </c>
      <c r="D22" s="2" t="s">
        <v>261</v>
      </c>
      <c r="E22" s="2" t="s">
        <v>262</v>
      </c>
      <c r="F22" s="2" t="s">
        <v>295</v>
      </c>
      <c r="G22" s="11" t="n">
        <v>46102</v>
      </c>
      <c r="H22" s="11" t="n">
        <v>46132</v>
      </c>
      <c r="I22" s="11" t="n">
        <v>46132</v>
      </c>
      <c r="J22" s="2" t="s">
        <v>257</v>
      </c>
      <c r="K22" s="2" t="n">
        <v>0</v>
      </c>
      <c r="L22" s="2" t="n">
        <v>400</v>
      </c>
      <c r="M22" s="2" t="n">
        <v>38</v>
      </c>
      <c r="N22" s="2" t="n">
        <v>15200</v>
      </c>
    </row>
    <row r="23" customFormat="false" ht="15" hidden="false" customHeight="false" outlineLevel="0" collapsed="false">
      <c r="A23" s="2" t="s">
        <v>306</v>
      </c>
      <c r="B23" s="2" t="s">
        <v>252</v>
      </c>
      <c r="C23" s="2" t="s">
        <v>253</v>
      </c>
      <c r="D23" s="2" t="s">
        <v>254</v>
      </c>
      <c r="E23" s="2" t="s">
        <v>255</v>
      </c>
      <c r="F23" s="2" t="s">
        <v>283</v>
      </c>
      <c r="G23" s="11" t="n">
        <v>46178</v>
      </c>
      <c r="H23" s="11" t="n">
        <v>46238</v>
      </c>
      <c r="I23" s="2"/>
      <c r="J23" s="2" t="s">
        <v>269</v>
      </c>
      <c r="K23" s="2"/>
      <c r="L23" s="2" t="n">
        <v>400</v>
      </c>
      <c r="M23" s="2" t="n">
        <v>26</v>
      </c>
      <c r="N23" s="2" t="n">
        <v>10400</v>
      </c>
    </row>
    <row r="24" customFormat="false" ht="15" hidden="false" customHeight="false" outlineLevel="0" collapsed="false">
      <c r="A24" s="2" t="s">
        <v>307</v>
      </c>
      <c r="B24" s="2" t="s">
        <v>287</v>
      </c>
      <c r="C24" s="2" t="s">
        <v>288</v>
      </c>
      <c r="D24" s="2" t="s">
        <v>254</v>
      </c>
      <c r="E24" s="2" t="s">
        <v>255</v>
      </c>
      <c r="F24" s="2" t="s">
        <v>256</v>
      </c>
      <c r="G24" s="11" t="n">
        <v>46142</v>
      </c>
      <c r="H24" s="11" t="n">
        <v>46202</v>
      </c>
      <c r="I24" s="11" t="n">
        <v>46207</v>
      </c>
      <c r="J24" s="2" t="s">
        <v>257</v>
      </c>
      <c r="K24" s="2" t="n">
        <v>5</v>
      </c>
      <c r="L24" s="2" t="n">
        <v>400</v>
      </c>
      <c r="M24" s="2" t="n">
        <v>22</v>
      </c>
      <c r="N24" s="2" t="n">
        <v>8800</v>
      </c>
    </row>
    <row r="25" customFormat="false" ht="15" hidden="false" customHeight="false" outlineLevel="0" collapsed="false">
      <c r="A25" s="2" t="s">
        <v>308</v>
      </c>
      <c r="B25" s="2" t="s">
        <v>304</v>
      </c>
      <c r="C25" s="2" t="s">
        <v>305</v>
      </c>
      <c r="D25" s="2" t="s">
        <v>261</v>
      </c>
      <c r="E25" s="2" t="s">
        <v>262</v>
      </c>
      <c r="F25" s="2" t="s">
        <v>295</v>
      </c>
      <c r="G25" s="11" t="n">
        <v>46018</v>
      </c>
      <c r="H25" s="11" t="n">
        <v>46048</v>
      </c>
      <c r="I25" s="11" t="n">
        <v>46048</v>
      </c>
      <c r="J25" s="2" t="s">
        <v>257</v>
      </c>
      <c r="K25" s="2" t="n">
        <v>0</v>
      </c>
      <c r="L25" s="2" t="n">
        <v>250</v>
      </c>
      <c r="M25" s="2" t="n">
        <v>38</v>
      </c>
      <c r="N25" s="2" t="n">
        <v>9500</v>
      </c>
    </row>
    <row r="26" customFormat="false" ht="15" hidden="false" customHeight="false" outlineLevel="0" collapsed="false">
      <c r="A26" s="2" t="s">
        <v>309</v>
      </c>
      <c r="B26" s="2" t="s">
        <v>259</v>
      </c>
      <c r="C26" s="2" t="s">
        <v>260</v>
      </c>
      <c r="D26" s="2" t="s">
        <v>261</v>
      </c>
      <c r="E26" s="2" t="s">
        <v>262</v>
      </c>
      <c r="F26" s="2" t="s">
        <v>263</v>
      </c>
      <c r="G26" s="11" t="n">
        <v>46065</v>
      </c>
      <c r="H26" s="11" t="n">
        <v>46095</v>
      </c>
      <c r="I26" s="11" t="n">
        <v>46096</v>
      </c>
      <c r="J26" s="2" t="s">
        <v>257</v>
      </c>
      <c r="K26" s="2" t="n">
        <v>1</v>
      </c>
      <c r="L26" s="2" t="n">
        <v>200</v>
      </c>
      <c r="M26" s="2" t="n">
        <v>46</v>
      </c>
      <c r="N26" s="2" t="n">
        <v>9200</v>
      </c>
    </row>
    <row r="27" customFormat="false" ht="15" hidden="false" customHeight="false" outlineLevel="0" collapsed="false">
      <c r="A27" s="2" t="s">
        <v>310</v>
      </c>
      <c r="B27" s="2" t="s">
        <v>252</v>
      </c>
      <c r="C27" s="2" t="s">
        <v>253</v>
      </c>
      <c r="D27" s="2" t="s">
        <v>254</v>
      </c>
      <c r="E27" s="2" t="s">
        <v>255</v>
      </c>
      <c r="F27" s="2" t="s">
        <v>293</v>
      </c>
      <c r="G27" s="11" t="n">
        <v>46035</v>
      </c>
      <c r="H27" s="11" t="n">
        <v>46095</v>
      </c>
      <c r="I27" s="11" t="n">
        <v>46101</v>
      </c>
      <c r="J27" s="2" t="s">
        <v>257</v>
      </c>
      <c r="K27" s="2" t="n">
        <v>6</v>
      </c>
      <c r="L27" s="2" t="n">
        <v>200</v>
      </c>
      <c r="M27" s="2" t="n">
        <v>26</v>
      </c>
      <c r="N27" s="2" t="n">
        <v>5200</v>
      </c>
    </row>
    <row r="28" customFormat="false" ht="15" hidden="false" customHeight="false" outlineLevel="0" collapsed="false">
      <c r="A28" s="2" t="s">
        <v>311</v>
      </c>
      <c r="B28" s="2" t="s">
        <v>304</v>
      </c>
      <c r="C28" s="2" t="s">
        <v>305</v>
      </c>
      <c r="D28" s="2" t="s">
        <v>261</v>
      </c>
      <c r="E28" s="2" t="s">
        <v>262</v>
      </c>
      <c r="F28" s="2" t="s">
        <v>263</v>
      </c>
      <c r="G28" s="11" t="n">
        <v>46142</v>
      </c>
      <c r="H28" s="11" t="n">
        <v>46172</v>
      </c>
      <c r="I28" s="11" t="n">
        <v>46173</v>
      </c>
      <c r="J28" s="2" t="s">
        <v>257</v>
      </c>
      <c r="K28" s="2" t="n">
        <v>1</v>
      </c>
      <c r="L28" s="2" t="n">
        <v>150</v>
      </c>
      <c r="M28" s="2" t="n">
        <v>38</v>
      </c>
      <c r="N28" s="2" t="n">
        <v>5700</v>
      </c>
    </row>
    <row r="29" customFormat="false" ht="15" hidden="false" customHeight="false" outlineLevel="0" collapsed="false">
      <c r="A29" s="2" t="s">
        <v>312</v>
      </c>
      <c r="B29" s="2" t="s">
        <v>304</v>
      </c>
      <c r="C29" s="2" t="s">
        <v>305</v>
      </c>
      <c r="D29" s="2" t="s">
        <v>261</v>
      </c>
      <c r="E29" s="2" t="s">
        <v>262</v>
      </c>
      <c r="F29" s="2" t="s">
        <v>283</v>
      </c>
      <c r="G29" s="11" t="n">
        <v>46091</v>
      </c>
      <c r="H29" s="11" t="n">
        <v>46121</v>
      </c>
      <c r="I29" s="11" t="n">
        <v>46122</v>
      </c>
      <c r="J29" s="2" t="s">
        <v>257</v>
      </c>
      <c r="K29" s="2" t="n">
        <v>1</v>
      </c>
      <c r="L29" s="2" t="n">
        <v>200</v>
      </c>
      <c r="M29" s="2" t="n">
        <v>38</v>
      </c>
      <c r="N29" s="2" t="n">
        <v>7600</v>
      </c>
    </row>
    <row r="30" customFormat="false" ht="15" hidden="false" customHeight="false" outlineLevel="0" collapsed="false">
      <c r="A30" s="2" t="s">
        <v>313</v>
      </c>
      <c r="B30" s="2" t="s">
        <v>304</v>
      </c>
      <c r="C30" s="2" t="s">
        <v>305</v>
      </c>
      <c r="D30" s="2" t="s">
        <v>261</v>
      </c>
      <c r="E30" s="2" t="s">
        <v>262</v>
      </c>
      <c r="F30" s="2" t="s">
        <v>271</v>
      </c>
      <c r="G30" s="11" t="n">
        <v>46081</v>
      </c>
      <c r="H30" s="11" t="n">
        <v>46111</v>
      </c>
      <c r="I30" s="11" t="n">
        <v>46112</v>
      </c>
      <c r="J30" s="2" t="s">
        <v>257</v>
      </c>
      <c r="K30" s="2" t="n">
        <v>1</v>
      </c>
      <c r="L30" s="2" t="n">
        <v>250</v>
      </c>
      <c r="M30" s="2" t="n">
        <v>38</v>
      </c>
      <c r="N30" s="2" t="n">
        <v>9500</v>
      </c>
    </row>
    <row r="31" customFormat="false" ht="15" hidden="false" customHeight="false" outlineLevel="0" collapsed="false">
      <c r="A31" s="2" t="s">
        <v>314</v>
      </c>
      <c r="B31" s="2" t="s">
        <v>279</v>
      </c>
      <c r="C31" s="2" t="s">
        <v>280</v>
      </c>
      <c r="D31" s="2" t="s">
        <v>275</v>
      </c>
      <c r="E31" s="2" t="s">
        <v>276</v>
      </c>
      <c r="F31" s="2" t="s">
        <v>315</v>
      </c>
      <c r="G31" s="11" t="n">
        <v>46170</v>
      </c>
      <c r="H31" s="11" t="n">
        <v>46215</v>
      </c>
      <c r="I31" s="11" t="n">
        <v>46217</v>
      </c>
      <c r="J31" s="2" t="s">
        <v>257</v>
      </c>
      <c r="K31" s="2" t="n">
        <v>2</v>
      </c>
      <c r="L31" s="2" t="n">
        <v>400</v>
      </c>
      <c r="M31" s="2" t="n">
        <v>19.5</v>
      </c>
      <c r="N31" s="2" t="n">
        <v>7800</v>
      </c>
    </row>
    <row r="32" customFormat="false" ht="15" hidden="false" customHeight="false" outlineLevel="0" collapsed="false">
      <c r="A32" s="2" t="s">
        <v>316</v>
      </c>
      <c r="B32" s="2" t="s">
        <v>259</v>
      </c>
      <c r="C32" s="2" t="s">
        <v>260</v>
      </c>
      <c r="D32" s="2" t="s">
        <v>261</v>
      </c>
      <c r="E32" s="2" t="s">
        <v>262</v>
      </c>
      <c r="F32" s="2" t="s">
        <v>283</v>
      </c>
      <c r="G32" s="11" t="n">
        <v>46032</v>
      </c>
      <c r="H32" s="11" t="n">
        <v>46062</v>
      </c>
      <c r="I32" s="11" t="n">
        <v>46062</v>
      </c>
      <c r="J32" s="2" t="s">
        <v>257</v>
      </c>
      <c r="K32" s="2" t="n">
        <v>0</v>
      </c>
      <c r="L32" s="2" t="n">
        <v>300</v>
      </c>
      <c r="M32" s="2" t="n">
        <v>46</v>
      </c>
      <c r="N32" s="2" t="n">
        <v>13800</v>
      </c>
    </row>
    <row r="33" customFormat="false" ht="15" hidden="false" customHeight="false" outlineLevel="0" collapsed="false">
      <c r="A33" s="2" t="s">
        <v>317</v>
      </c>
      <c r="B33" s="2" t="s">
        <v>318</v>
      </c>
      <c r="C33" s="2" t="s">
        <v>319</v>
      </c>
      <c r="D33" s="2" t="s">
        <v>275</v>
      </c>
      <c r="E33" s="2" t="s">
        <v>276</v>
      </c>
      <c r="F33" s="2" t="s">
        <v>256</v>
      </c>
      <c r="G33" s="11" t="n">
        <v>46161</v>
      </c>
      <c r="H33" s="11" t="n">
        <v>46206</v>
      </c>
      <c r="I33" s="11" t="n">
        <v>46207</v>
      </c>
      <c r="J33" s="2" t="s">
        <v>257</v>
      </c>
      <c r="K33" s="2" t="n">
        <v>1</v>
      </c>
      <c r="L33" s="2" t="n">
        <v>500</v>
      </c>
      <c r="M33" s="2" t="n">
        <v>14.25</v>
      </c>
      <c r="N33" s="2" t="n">
        <v>7125</v>
      </c>
    </row>
    <row r="34" customFormat="false" ht="15" hidden="false" customHeight="false" outlineLevel="0" collapsed="false">
      <c r="A34" s="2" t="s">
        <v>320</v>
      </c>
      <c r="B34" s="2" t="s">
        <v>265</v>
      </c>
      <c r="C34" s="2" t="s">
        <v>266</v>
      </c>
      <c r="D34" s="2" t="s">
        <v>267</v>
      </c>
      <c r="E34" s="2" t="s">
        <v>255</v>
      </c>
      <c r="F34" s="2" t="s">
        <v>268</v>
      </c>
      <c r="G34" s="11" t="n">
        <v>46087</v>
      </c>
      <c r="H34" s="11" t="n">
        <v>46152</v>
      </c>
      <c r="I34" s="11" t="n">
        <v>46169</v>
      </c>
      <c r="J34" s="2" t="s">
        <v>257</v>
      </c>
      <c r="K34" s="2" t="n">
        <v>17</v>
      </c>
      <c r="L34" s="2" t="n">
        <v>500</v>
      </c>
      <c r="M34" s="2" t="n">
        <v>30</v>
      </c>
      <c r="N34" s="2" t="n">
        <v>15000</v>
      </c>
    </row>
    <row r="35" customFormat="false" ht="15" hidden="false" customHeight="false" outlineLevel="0" collapsed="false">
      <c r="A35" s="2" t="s">
        <v>321</v>
      </c>
      <c r="B35" s="2" t="s">
        <v>287</v>
      </c>
      <c r="C35" s="2" t="s">
        <v>288</v>
      </c>
      <c r="D35" s="2" t="s">
        <v>254</v>
      </c>
      <c r="E35" s="2" t="s">
        <v>255</v>
      </c>
      <c r="F35" s="2" t="s">
        <v>285</v>
      </c>
      <c r="G35" s="11" t="n">
        <v>46167</v>
      </c>
      <c r="H35" s="11" t="n">
        <v>46227</v>
      </c>
      <c r="I35" s="2"/>
      <c r="J35" s="2" t="s">
        <v>269</v>
      </c>
      <c r="K35" s="2"/>
      <c r="L35" s="2" t="n">
        <v>200</v>
      </c>
      <c r="M35" s="2" t="n">
        <v>22</v>
      </c>
      <c r="N35" s="2" t="n">
        <v>4400</v>
      </c>
    </row>
    <row r="36" customFormat="false" ht="15" hidden="false" customHeight="false" outlineLevel="0" collapsed="false">
      <c r="A36" s="2" t="s">
        <v>322</v>
      </c>
      <c r="B36" s="2" t="s">
        <v>304</v>
      </c>
      <c r="C36" s="2" t="s">
        <v>305</v>
      </c>
      <c r="D36" s="2" t="s">
        <v>261</v>
      </c>
      <c r="E36" s="2" t="s">
        <v>262</v>
      </c>
      <c r="F36" s="2" t="s">
        <v>277</v>
      </c>
      <c r="G36" s="11" t="n">
        <v>46057</v>
      </c>
      <c r="H36" s="11" t="n">
        <v>46087</v>
      </c>
      <c r="I36" s="11" t="n">
        <v>46087</v>
      </c>
      <c r="J36" s="2" t="s">
        <v>257</v>
      </c>
      <c r="K36" s="2" t="n">
        <v>0</v>
      </c>
      <c r="L36" s="2" t="n">
        <v>250</v>
      </c>
      <c r="M36" s="2" t="n">
        <v>38</v>
      </c>
      <c r="N36" s="2" t="n">
        <v>9500</v>
      </c>
    </row>
    <row r="37" customFormat="false" ht="15" hidden="false" customHeight="false" outlineLevel="0" collapsed="false">
      <c r="A37" s="2" t="s">
        <v>323</v>
      </c>
      <c r="B37" s="2" t="s">
        <v>265</v>
      </c>
      <c r="C37" s="2" t="s">
        <v>266</v>
      </c>
      <c r="D37" s="2" t="s">
        <v>267</v>
      </c>
      <c r="E37" s="2" t="s">
        <v>255</v>
      </c>
      <c r="F37" s="2" t="s">
        <v>277</v>
      </c>
      <c r="G37" s="11" t="n">
        <v>46054</v>
      </c>
      <c r="H37" s="11" t="n">
        <v>46119</v>
      </c>
      <c r="I37" s="11" t="n">
        <v>46130</v>
      </c>
      <c r="J37" s="2" t="s">
        <v>257</v>
      </c>
      <c r="K37" s="2" t="n">
        <v>11</v>
      </c>
      <c r="L37" s="2" t="n">
        <v>400</v>
      </c>
      <c r="M37" s="2" t="n">
        <v>30</v>
      </c>
      <c r="N37" s="2" t="n">
        <v>12000</v>
      </c>
    </row>
    <row r="38" customFormat="false" ht="15" hidden="false" customHeight="false" outlineLevel="0" collapsed="false">
      <c r="A38" s="2" t="s">
        <v>324</v>
      </c>
      <c r="B38" s="2" t="s">
        <v>279</v>
      </c>
      <c r="C38" s="2" t="s">
        <v>280</v>
      </c>
      <c r="D38" s="2" t="s">
        <v>275</v>
      </c>
      <c r="E38" s="2" t="s">
        <v>276</v>
      </c>
      <c r="F38" s="2" t="s">
        <v>256</v>
      </c>
      <c r="G38" s="11" t="n">
        <v>46057</v>
      </c>
      <c r="H38" s="11" t="n">
        <v>46102</v>
      </c>
      <c r="I38" s="11" t="n">
        <v>46102</v>
      </c>
      <c r="J38" s="2" t="s">
        <v>257</v>
      </c>
      <c r="K38" s="2" t="n">
        <v>0</v>
      </c>
      <c r="L38" s="2" t="n">
        <v>250</v>
      </c>
      <c r="M38" s="2" t="n">
        <v>19.5</v>
      </c>
      <c r="N38" s="2" t="n">
        <v>4875</v>
      </c>
    </row>
    <row r="39" customFormat="false" ht="15" hidden="false" customHeight="false" outlineLevel="0" collapsed="false">
      <c r="A39" s="2" t="s">
        <v>325</v>
      </c>
      <c r="B39" s="2" t="s">
        <v>318</v>
      </c>
      <c r="C39" s="2" t="s">
        <v>319</v>
      </c>
      <c r="D39" s="2" t="s">
        <v>275</v>
      </c>
      <c r="E39" s="2" t="s">
        <v>276</v>
      </c>
      <c r="F39" s="2" t="s">
        <v>285</v>
      </c>
      <c r="G39" s="11" t="n">
        <v>46079</v>
      </c>
      <c r="H39" s="11" t="n">
        <v>46124</v>
      </c>
      <c r="I39" s="11" t="n">
        <v>46124</v>
      </c>
      <c r="J39" s="2" t="s">
        <v>257</v>
      </c>
      <c r="K39" s="2" t="n">
        <v>0</v>
      </c>
      <c r="L39" s="2" t="n">
        <v>250</v>
      </c>
      <c r="M39" s="2" t="n">
        <v>14.25</v>
      </c>
      <c r="N39" s="2" t="n">
        <v>3562.5</v>
      </c>
    </row>
    <row r="40" customFormat="false" ht="15" hidden="false" customHeight="false" outlineLevel="0" collapsed="false">
      <c r="A40" s="2" t="s">
        <v>326</v>
      </c>
      <c r="B40" s="2" t="s">
        <v>252</v>
      </c>
      <c r="C40" s="2" t="s">
        <v>253</v>
      </c>
      <c r="D40" s="2" t="s">
        <v>254</v>
      </c>
      <c r="E40" s="2" t="s">
        <v>255</v>
      </c>
      <c r="F40" s="2" t="s">
        <v>263</v>
      </c>
      <c r="G40" s="11" t="n">
        <v>46102</v>
      </c>
      <c r="H40" s="11" t="n">
        <v>46162</v>
      </c>
      <c r="I40" s="11" t="n">
        <v>46174</v>
      </c>
      <c r="J40" s="2" t="s">
        <v>257</v>
      </c>
      <c r="K40" s="2" t="n">
        <v>12</v>
      </c>
      <c r="L40" s="2" t="n">
        <v>250</v>
      </c>
      <c r="M40" s="2" t="n">
        <v>26</v>
      </c>
      <c r="N40" s="2" t="n">
        <v>6500</v>
      </c>
    </row>
    <row r="41" customFormat="false" ht="15" hidden="false" customHeight="false" outlineLevel="0" collapsed="false">
      <c r="A41" s="2" t="s">
        <v>327</v>
      </c>
      <c r="B41" s="2" t="s">
        <v>304</v>
      </c>
      <c r="C41" s="2" t="s">
        <v>305</v>
      </c>
      <c r="D41" s="2" t="s">
        <v>261</v>
      </c>
      <c r="E41" s="2" t="s">
        <v>262</v>
      </c>
      <c r="F41" s="2" t="s">
        <v>315</v>
      </c>
      <c r="G41" s="11" t="n">
        <v>46096</v>
      </c>
      <c r="H41" s="11" t="n">
        <v>46126</v>
      </c>
      <c r="I41" s="11" t="n">
        <v>46126</v>
      </c>
      <c r="J41" s="2" t="s">
        <v>257</v>
      </c>
      <c r="K41" s="2" t="n">
        <v>0</v>
      </c>
      <c r="L41" s="2" t="n">
        <v>500</v>
      </c>
      <c r="M41" s="2" t="n">
        <v>38</v>
      </c>
      <c r="N41" s="2" t="n">
        <v>19000</v>
      </c>
    </row>
    <row r="42" customFormat="false" ht="15" hidden="false" customHeight="false" outlineLevel="0" collapsed="false">
      <c r="A42" s="2" t="s">
        <v>328</v>
      </c>
      <c r="B42" s="2" t="s">
        <v>279</v>
      </c>
      <c r="C42" s="2" t="s">
        <v>280</v>
      </c>
      <c r="D42" s="2" t="s">
        <v>275</v>
      </c>
      <c r="E42" s="2" t="s">
        <v>276</v>
      </c>
      <c r="F42" s="2" t="s">
        <v>256</v>
      </c>
      <c r="G42" s="11" t="n">
        <v>46061</v>
      </c>
      <c r="H42" s="11" t="n">
        <v>46106</v>
      </c>
      <c r="I42" s="11" t="n">
        <v>46107</v>
      </c>
      <c r="J42" s="2" t="s">
        <v>257</v>
      </c>
      <c r="K42" s="2" t="n">
        <v>1</v>
      </c>
      <c r="L42" s="2" t="n">
        <v>500</v>
      </c>
      <c r="M42" s="2" t="n">
        <v>19.5</v>
      </c>
      <c r="N42" s="2" t="n">
        <v>9750</v>
      </c>
    </row>
    <row r="43" customFormat="false" ht="15" hidden="false" customHeight="false" outlineLevel="0" collapsed="false">
      <c r="A43" s="2" t="s">
        <v>329</v>
      </c>
      <c r="B43" s="2" t="s">
        <v>259</v>
      </c>
      <c r="C43" s="2" t="s">
        <v>260</v>
      </c>
      <c r="D43" s="2" t="s">
        <v>261</v>
      </c>
      <c r="E43" s="2" t="s">
        <v>262</v>
      </c>
      <c r="F43" s="2" t="s">
        <v>315</v>
      </c>
      <c r="G43" s="11" t="n">
        <v>46129</v>
      </c>
      <c r="H43" s="11" t="n">
        <v>46159</v>
      </c>
      <c r="I43" s="11" t="n">
        <v>46160</v>
      </c>
      <c r="J43" s="2" t="s">
        <v>257</v>
      </c>
      <c r="K43" s="2" t="n">
        <v>1</v>
      </c>
      <c r="L43" s="2" t="n">
        <v>500</v>
      </c>
      <c r="M43" s="2" t="n">
        <v>46</v>
      </c>
      <c r="N43" s="2" t="n">
        <v>23000</v>
      </c>
    </row>
    <row r="44" customFormat="false" ht="15" hidden="false" customHeight="false" outlineLevel="0" collapsed="false">
      <c r="A44" s="2" t="s">
        <v>330</v>
      </c>
      <c r="B44" s="2" t="s">
        <v>318</v>
      </c>
      <c r="C44" s="2" t="s">
        <v>319</v>
      </c>
      <c r="D44" s="2" t="s">
        <v>275</v>
      </c>
      <c r="E44" s="2" t="s">
        <v>276</v>
      </c>
      <c r="F44" s="2" t="s">
        <v>263</v>
      </c>
      <c r="G44" s="11" t="n">
        <v>46053</v>
      </c>
      <c r="H44" s="11" t="n">
        <v>46098</v>
      </c>
      <c r="I44" s="11" t="n">
        <v>46099</v>
      </c>
      <c r="J44" s="2" t="s">
        <v>257</v>
      </c>
      <c r="K44" s="2" t="n">
        <v>1</v>
      </c>
      <c r="L44" s="2" t="n">
        <v>400</v>
      </c>
      <c r="M44" s="2" t="n">
        <v>14.25</v>
      </c>
      <c r="N44" s="2" t="n">
        <v>5700</v>
      </c>
    </row>
    <row r="45" customFormat="false" ht="15" hidden="false" customHeight="false" outlineLevel="0" collapsed="false">
      <c r="A45" s="2" t="s">
        <v>331</v>
      </c>
      <c r="B45" s="2" t="s">
        <v>259</v>
      </c>
      <c r="C45" s="2" t="s">
        <v>260</v>
      </c>
      <c r="D45" s="2" t="s">
        <v>261</v>
      </c>
      <c r="E45" s="2" t="s">
        <v>262</v>
      </c>
      <c r="F45" s="2" t="s">
        <v>283</v>
      </c>
      <c r="G45" s="11" t="n">
        <v>46102</v>
      </c>
      <c r="H45" s="11" t="n">
        <v>46132</v>
      </c>
      <c r="I45" s="11" t="n">
        <v>46133</v>
      </c>
      <c r="J45" s="2" t="s">
        <v>257</v>
      </c>
      <c r="K45" s="2" t="n">
        <v>1</v>
      </c>
      <c r="L45" s="2" t="n">
        <v>500</v>
      </c>
      <c r="M45" s="2" t="n">
        <v>46</v>
      </c>
      <c r="N45" s="2" t="n">
        <v>23000</v>
      </c>
    </row>
    <row r="46" customFormat="false" ht="15" hidden="false" customHeight="false" outlineLevel="0" collapsed="false">
      <c r="A46" s="2" t="s">
        <v>332</v>
      </c>
      <c r="B46" s="2" t="s">
        <v>287</v>
      </c>
      <c r="C46" s="2" t="s">
        <v>288</v>
      </c>
      <c r="D46" s="2" t="s">
        <v>254</v>
      </c>
      <c r="E46" s="2" t="s">
        <v>255</v>
      </c>
      <c r="F46" s="2" t="s">
        <v>293</v>
      </c>
      <c r="G46" s="11" t="n">
        <v>46167</v>
      </c>
      <c r="H46" s="11" t="n">
        <v>46227</v>
      </c>
      <c r="I46" s="2"/>
      <c r="J46" s="2" t="s">
        <v>269</v>
      </c>
      <c r="K46" s="2"/>
      <c r="L46" s="2" t="n">
        <v>200</v>
      </c>
      <c r="M46" s="2" t="n">
        <v>22</v>
      </c>
      <c r="N46" s="2" t="n">
        <v>4400</v>
      </c>
    </row>
    <row r="47" customFormat="false" ht="15" hidden="false" customHeight="false" outlineLevel="0" collapsed="false">
      <c r="A47" s="2" t="s">
        <v>333</v>
      </c>
      <c r="B47" s="2" t="s">
        <v>279</v>
      </c>
      <c r="C47" s="2" t="s">
        <v>280</v>
      </c>
      <c r="D47" s="2" t="s">
        <v>275</v>
      </c>
      <c r="E47" s="2" t="s">
        <v>276</v>
      </c>
      <c r="F47" s="2" t="s">
        <v>300</v>
      </c>
      <c r="G47" s="11" t="n">
        <v>46168</v>
      </c>
      <c r="H47" s="11" t="n">
        <v>46213</v>
      </c>
      <c r="I47" s="11" t="n">
        <v>46213</v>
      </c>
      <c r="J47" s="2" t="s">
        <v>257</v>
      </c>
      <c r="K47" s="2" t="n">
        <v>0</v>
      </c>
      <c r="L47" s="2" t="n">
        <v>500</v>
      </c>
      <c r="M47" s="2" t="n">
        <v>19.5</v>
      </c>
      <c r="N47" s="2" t="n">
        <v>9750</v>
      </c>
    </row>
    <row r="48" customFormat="false" ht="15" hidden="false" customHeight="false" outlineLevel="0" collapsed="false">
      <c r="A48" s="2" t="s">
        <v>334</v>
      </c>
      <c r="B48" s="2" t="s">
        <v>252</v>
      </c>
      <c r="C48" s="2" t="s">
        <v>253</v>
      </c>
      <c r="D48" s="2" t="s">
        <v>254</v>
      </c>
      <c r="E48" s="2" t="s">
        <v>255</v>
      </c>
      <c r="F48" s="2" t="s">
        <v>293</v>
      </c>
      <c r="G48" s="11" t="n">
        <v>46145</v>
      </c>
      <c r="H48" s="11" t="n">
        <v>46205</v>
      </c>
      <c r="I48" s="11" t="n">
        <v>46209</v>
      </c>
      <c r="J48" s="2" t="s">
        <v>257</v>
      </c>
      <c r="K48" s="2" t="n">
        <v>4</v>
      </c>
      <c r="L48" s="2" t="n">
        <v>250</v>
      </c>
      <c r="M48" s="2" t="n">
        <v>26</v>
      </c>
      <c r="N48" s="2" t="n">
        <v>6500</v>
      </c>
    </row>
    <row r="49" customFormat="false" ht="15" hidden="false" customHeight="false" outlineLevel="0" collapsed="false">
      <c r="A49" s="2" t="s">
        <v>335</v>
      </c>
      <c r="B49" s="2" t="s">
        <v>279</v>
      </c>
      <c r="C49" s="2" t="s">
        <v>280</v>
      </c>
      <c r="D49" s="2" t="s">
        <v>275</v>
      </c>
      <c r="E49" s="2" t="s">
        <v>276</v>
      </c>
      <c r="F49" s="2" t="s">
        <v>263</v>
      </c>
      <c r="G49" s="11" t="n">
        <v>46138</v>
      </c>
      <c r="H49" s="11" t="n">
        <v>46183</v>
      </c>
      <c r="I49" s="11" t="n">
        <v>46183</v>
      </c>
      <c r="J49" s="2" t="s">
        <v>257</v>
      </c>
      <c r="K49" s="2" t="n">
        <v>0</v>
      </c>
      <c r="L49" s="2" t="n">
        <v>150</v>
      </c>
      <c r="M49" s="2" t="n">
        <v>19.5</v>
      </c>
      <c r="N49" s="2" t="n">
        <v>2925</v>
      </c>
    </row>
    <row r="50" customFormat="false" ht="15" hidden="false" customHeight="false" outlineLevel="0" collapsed="false">
      <c r="A50" s="2" t="s">
        <v>336</v>
      </c>
      <c r="B50" s="2" t="s">
        <v>287</v>
      </c>
      <c r="C50" s="2" t="s">
        <v>288</v>
      </c>
      <c r="D50" s="2" t="s">
        <v>254</v>
      </c>
      <c r="E50" s="2" t="s">
        <v>255</v>
      </c>
      <c r="F50" s="2" t="s">
        <v>277</v>
      </c>
      <c r="G50" s="11" t="n">
        <v>46173</v>
      </c>
      <c r="H50" s="11" t="n">
        <v>46233</v>
      </c>
      <c r="I50" s="2"/>
      <c r="J50" s="2" t="s">
        <v>269</v>
      </c>
      <c r="K50" s="2"/>
      <c r="L50" s="2" t="n">
        <v>150</v>
      </c>
      <c r="M50" s="2" t="n">
        <v>22</v>
      </c>
      <c r="N50" s="2" t="n">
        <v>3300</v>
      </c>
    </row>
    <row r="51" customFormat="false" ht="15" hidden="false" customHeight="false" outlineLevel="0" collapsed="false">
      <c r="A51" s="2" t="s">
        <v>337</v>
      </c>
      <c r="B51" s="2" t="s">
        <v>265</v>
      </c>
      <c r="C51" s="2" t="s">
        <v>266</v>
      </c>
      <c r="D51" s="2" t="s">
        <v>267</v>
      </c>
      <c r="E51" s="2" t="s">
        <v>255</v>
      </c>
      <c r="F51" s="2" t="s">
        <v>293</v>
      </c>
      <c r="G51" s="11" t="n">
        <v>46011</v>
      </c>
      <c r="H51" s="11" t="n">
        <v>46076</v>
      </c>
      <c r="I51" s="11" t="n">
        <v>46087</v>
      </c>
      <c r="J51" s="2" t="s">
        <v>257</v>
      </c>
      <c r="K51" s="2" t="n">
        <v>11</v>
      </c>
      <c r="L51" s="2" t="n">
        <v>150</v>
      </c>
      <c r="M51" s="2" t="n">
        <v>30</v>
      </c>
      <c r="N51" s="2" t="n">
        <v>4500</v>
      </c>
    </row>
    <row r="52" customFormat="false" ht="15" hidden="false" customHeight="false" outlineLevel="0" collapsed="false">
      <c r="A52" s="2" t="s">
        <v>338</v>
      </c>
      <c r="B52" s="2" t="s">
        <v>259</v>
      </c>
      <c r="C52" s="2" t="s">
        <v>260</v>
      </c>
      <c r="D52" s="2" t="s">
        <v>261</v>
      </c>
      <c r="E52" s="2" t="s">
        <v>262</v>
      </c>
      <c r="F52" s="2" t="s">
        <v>293</v>
      </c>
      <c r="G52" s="11" t="n">
        <v>46178</v>
      </c>
      <c r="H52" s="11" t="n">
        <v>46208</v>
      </c>
      <c r="I52" s="11" t="n">
        <v>46208</v>
      </c>
      <c r="J52" s="2" t="s">
        <v>257</v>
      </c>
      <c r="K52" s="2" t="n">
        <v>0</v>
      </c>
      <c r="L52" s="2" t="n">
        <v>250</v>
      </c>
      <c r="M52" s="2" t="n">
        <v>46</v>
      </c>
      <c r="N52" s="2" t="n">
        <v>11500</v>
      </c>
    </row>
    <row r="53" customFormat="false" ht="15" hidden="false" customHeight="false" outlineLevel="0" collapsed="false">
      <c r="A53" s="2" t="s">
        <v>339</v>
      </c>
      <c r="B53" s="2" t="s">
        <v>265</v>
      </c>
      <c r="C53" s="2" t="s">
        <v>266</v>
      </c>
      <c r="D53" s="2" t="s">
        <v>267</v>
      </c>
      <c r="E53" s="2" t="s">
        <v>255</v>
      </c>
      <c r="F53" s="2" t="s">
        <v>271</v>
      </c>
      <c r="G53" s="11" t="n">
        <v>46077</v>
      </c>
      <c r="H53" s="11" t="n">
        <v>46142</v>
      </c>
      <c r="I53" s="11" t="n">
        <v>46152</v>
      </c>
      <c r="J53" s="2" t="s">
        <v>257</v>
      </c>
      <c r="K53" s="2" t="n">
        <v>10</v>
      </c>
      <c r="L53" s="2" t="n">
        <v>600</v>
      </c>
      <c r="M53" s="2" t="n">
        <v>30</v>
      </c>
      <c r="N53" s="2" t="n">
        <v>18000</v>
      </c>
    </row>
    <row r="54" customFormat="false" ht="15" hidden="false" customHeight="false" outlineLevel="0" collapsed="false">
      <c r="A54" s="2" t="s">
        <v>340</v>
      </c>
      <c r="B54" s="2" t="s">
        <v>252</v>
      </c>
      <c r="C54" s="2" t="s">
        <v>253</v>
      </c>
      <c r="D54" s="2" t="s">
        <v>254</v>
      </c>
      <c r="E54" s="2" t="s">
        <v>255</v>
      </c>
      <c r="F54" s="2" t="s">
        <v>271</v>
      </c>
      <c r="G54" s="11" t="n">
        <v>46020</v>
      </c>
      <c r="H54" s="11" t="n">
        <v>46080</v>
      </c>
      <c r="I54" s="11" t="n">
        <v>46084</v>
      </c>
      <c r="J54" s="2" t="s">
        <v>257</v>
      </c>
      <c r="K54" s="2" t="n">
        <v>4</v>
      </c>
      <c r="L54" s="2" t="n">
        <v>600</v>
      </c>
      <c r="M54" s="2" t="n">
        <v>26</v>
      </c>
      <c r="N54" s="2" t="n">
        <v>15600</v>
      </c>
    </row>
    <row r="55" customFormat="false" ht="15" hidden="false" customHeight="false" outlineLevel="0" collapsed="false">
      <c r="A55" s="2" t="s">
        <v>341</v>
      </c>
      <c r="B55" s="2" t="s">
        <v>252</v>
      </c>
      <c r="C55" s="2" t="s">
        <v>253</v>
      </c>
      <c r="D55" s="2" t="s">
        <v>254</v>
      </c>
      <c r="E55" s="2" t="s">
        <v>255</v>
      </c>
      <c r="F55" s="2" t="s">
        <v>293</v>
      </c>
      <c r="G55" s="11" t="n">
        <v>46124</v>
      </c>
      <c r="H55" s="11" t="n">
        <v>46184</v>
      </c>
      <c r="I55" s="11" t="n">
        <v>46187</v>
      </c>
      <c r="J55" s="2" t="s">
        <v>257</v>
      </c>
      <c r="K55" s="2" t="n">
        <v>3</v>
      </c>
      <c r="L55" s="2" t="n">
        <v>500</v>
      </c>
      <c r="M55" s="2" t="n">
        <v>26</v>
      </c>
      <c r="N55" s="2" t="n">
        <v>13000</v>
      </c>
    </row>
    <row r="56" customFormat="false" ht="15" hidden="false" customHeight="false" outlineLevel="0" collapsed="false">
      <c r="A56" s="2" t="s">
        <v>342</v>
      </c>
      <c r="B56" s="2" t="s">
        <v>265</v>
      </c>
      <c r="C56" s="2" t="s">
        <v>266</v>
      </c>
      <c r="D56" s="2" t="s">
        <v>267</v>
      </c>
      <c r="E56" s="2" t="s">
        <v>255</v>
      </c>
      <c r="F56" s="2" t="s">
        <v>283</v>
      </c>
      <c r="G56" s="11" t="n">
        <v>46098</v>
      </c>
      <c r="H56" s="11" t="n">
        <v>46163</v>
      </c>
      <c r="I56" s="11" t="n">
        <v>46174</v>
      </c>
      <c r="J56" s="2" t="s">
        <v>257</v>
      </c>
      <c r="K56" s="2" t="n">
        <v>11</v>
      </c>
      <c r="L56" s="2" t="n">
        <v>150</v>
      </c>
      <c r="M56" s="2" t="n">
        <v>30</v>
      </c>
      <c r="N56" s="2" t="n">
        <v>4500</v>
      </c>
    </row>
    <row r="57" customFormat="false" ht="15" hidden="false" customHeight="false" outlineLevel="0" collapsed="false">
      <c r="A57" s="2" t="s">
        <v>343</v>
      </c>
      <c r="B57" s="2" t="s">
        <v>252</v>
      </c>
      <c r="C57" s="2" t="s">
        <v>253</v>
      </c>
      <c r="D57" s="2" t="s">
        <v>254</v>
      </c>
      <c r="E57" s="2" t="s">
        <v>255</v>
      </c>
      <c r="F57" s="2" t="s">
        <v>300</v>
      </c>
      <c r="G57" s="11" t="n">
        <v>46185</v>
      </c>
      <c r="H57" s="11" t="n">
        <v>46245</v>
      </c>
      <c r="I57" s="2"/>
      <c r="J57" s="2" t="s">
        <v>269</v>
      </c>
      <c r="K57" s="2"/>
      <c r="L57" s="2" t="n">
        <v>500</v>
      </c>
      <c r="M57" s="2" t="n">
        <v>26</v>
      </c>
      <c r="N57" s="2" t="n">
        <v>13000</v>
      </c>
    </row>
    <row r="58" customFormat="false" ht="15" hidden="false" customHeight="false" outlineLevel="0" collapsed="false">
      <c r="A58" s="2" t="s">
        <v>344</v>
      </c>
      <c r="B58" s="2" t="s">
        <v>259</v>
      </c>
      <c r="C58" s="2" t="s">
        <v>260</v>
      </c>
      <c r="D58" s="2" t="s">
        <v>261</v>
      </c>
      <c r="E58" s="2" t="s">
        <v>262</v>
      </c>
      <c r="F58" s="2" t="s">
        <v>256</v>
      </c>
      <c r="G58" s="11" t="n">
        <v>46087</v>
      </c>
      <c r="H58" s="11" t="n">
        <v>46117</v>
      </c>
      <c r="I58" s="11" t="n">
        <v>46117</v>
      </c>
      <c r="J58" s="2" t="s">
        <v>257</v>
      </c>
      <c r="K58" s="2" t="n">
        <v>0</v>
      </c>
      <c r="L58" s="2" t="n">
        <v>600</v>
      </c>
      <c r="M58" s="2" t="n">
        <v>46</v>
      </c>
      <c r="N58" s="2" t="n">
        <v>27600</v>
      </c>
    </row>
    <row r="59" customFormat="false" ht="15" hidden="false" customHeight="false" outlineLevel="0" collapsed="false">
      <c r="A59" s="2" t="s">
        <v>345</v>
      </c>
      <c r="B59" s="2" t="s">
        <v>273</v>
      </c>
      <c r="C59" s="2" t="s">
        <v>274</v>
      </c>
      <c r="D59" s="2" t="s">
        <v>275</v>
      </c>
      <c r="E59" s="2" t="s">
        <v>276</v>
      </c>
      <c r="F59" s="2" t="s">
        <v>263</v>
      </c>
      <c r="G59" s="11" t="n">
        <v>46175</v>
      </c>
      <c r="H59" s="11" t="n">
        <v>46220</v>
      </c>
      <c r="I59" s="2"/>
      <c r="J59" s="2" t="s">
        <v>269</v>
      </c>
      <c r="K59" s="2"/>
      <c r="L59" s="2" t="n">
        <v>300</v>
      </c>
      <c r="M59" s="2" t="n">
        <v>11</v>
      </c>
      <c r="N59" s="2" t="n">
        <v>3300</v>
      </c>
    </row>
    <row r="60" customFormat="false" ht="15" hidden="false" customHeight="false" outlineLevel="0" collapsed="false">
      <c r="A60" s="2" t="s">
        <v>346</v>
      </c>
      <c r="B60" s="2" t="s">
        <v>304</v>
      </c>
      <c r="C60" s="2" t="s">
        <v>305</v>
      </c>
      <c r="D60" s="2" t="s">
        <v>261</v>
      </c>
      <c r="E60" s="2" t="s">
        <v>262</v>
      </c>
      <c r="F60" s="2" t="s">
        <v>285</v>
      </c>
      <c r="G60" s="11" t="n">
        <v>46186</v>
      </c>
      <c r="H60" s="11" t="n">
        <v>46216</v>
      </c>
      <c r="I60" s="11" t="n">
        <v>46217</v>
      </c>
      <c r="J60" s="2" t="s">
        <v>257</v>
      </c>
      <c r="K60" s="2" t="n">
        <v>1</v>
      </c>
      <c r="L60" s="2" t="n">
        <v>150</v>
      </c>
      <c r="M60" s="2" t="n">
        <v>38</v>
      </c>
      <c r="N60" s="2" t="n">
        <v>5700</v>
      </c>
    </row>
    <row r="61" customFormat="false" ht="15" hidden="false" customHeight="false" outlineLevel="0" collapsed="false">
      <c r="A61" s="2" t="s">
        <v>347</v>
      </c>
      <c r="B61" s="2" t="s">
        <v>259</v>
      </c>
      <c r="C61" s="2" t="s">
        <v>260</v>
      </c>
      <c r="D61" s="2" t="s">
        <v>261</v>
      </c>
      <c r="E61" s="2" t="s">
        <v>262</v>
      </c>
      <c r="F61" s="2" t="s">
        <v>285</v>
      </c>
      <c r="G61" s="11" t="n">
        <v>46011</v>
      </c>
      <c r="H61" s="11" t="n">
        <v>46041</v>
      </c>
      <c r="I61" s="11" t="n">
        <v>46042</v>
      </c>
      <c r="J61" s="2" t="s">
        <v>257</v>
      </c>
      <c r="K61" s="2" t="n">
        <v>1</v>
      </c>
      <c r="L61" s="2" t="n">
        <v>300</v>
      </c>
      <c r="M61" s="2" t="n">
        <v>46</v>
      </c>
      <c r="N61" s="2" t="n">
        <v>13800</v>
      </c>
    </row>
    <row r="62" customFormat="false" ht="15" hidden="false" customHeight="false" outlineLevel="0" collapsed="false">
      <c r="A62" s="2" t="s">
        <v>348</v>
      </c>
      <c r="B62" s="2" t="s">
        <v>279</v>
      </c>
      <c r="C62" s="2" t="s">
        <v>280</v>
      </c>
      <c r="D62" s="2" t="s">
        <v>275</v>
      </c>
      <c r="E62" s="2" t="s">
        <v>276</v>
      </c>
      <c r="F62" s="2" t="s">
        <v>268</v>
      </c>
      <c r="G62" s="11" t="n">
        <v>46103</v>
      </c>
      <c r="H62" s="11" t="n">
        <v>46148</v>
      </c>
      <c r="I62" s="11" t="n">
        <v>46149</v>
      </c>
      <c r="J62" s="2" t="s">
        <v>257</v>
      </c>
      <c r="K62" s="2" t="n">
        <v>1</v>
      </c>
      <c r="L62" s="2" t="n">
        <v>250</v>
      </c>
      <c r="M62" s="2" t="n">
        <v>19.5</v>
      </c>
      <c r="N62" s="2" t="n">
        <v>4875</v>
      </c>
    </row>
    <row r="63" customFormat="false" ht="15" hidden="false" customHeight="false" outlineLevel="0" collapsed="false">
      <c r="A63" s="2" t="s">
        <v>349</v>
      </c>
      <c r="B63" s="2" t="s">
        <v>279</v>
      </c>
      <c r="C63" s="2" t="s">
        <v>280</v>
      </c>
      <c r="D63" s="2" t="s">
        <v>275</v>
      </c>
      <c r="E63" s="2" t="s">
        <v>276</v>
      </c>
      <c r="F63" s="2" t="s">
        <v>285</v>
      </c>
      <c r="G63" s="11" t="n">
        <v>46170</v>
      </c>
      <c r="H63" s="11" t="n">
        <v>46215</v>
      </c>
      <c r="I63" s="11" t="n">
        <v>46215</v>
      </c>
      <c r="J63" s="2" t="s">
        <v>257</v>
      </c>
      <c r="K63" s="2" t="n">
        <v>0</v>
      </c>
      <c r="L63" s="2" t="n">
        <v>400</v>
      </c>
      <c r="M63" s="2" t="n">
        <v>19.5</v>
      </c>
      <c r="N63" s="2" t="n">
        <v>7800</v>
      </c>
    </row>
    <row r="64" customFormat="false" ht="15" hidden="false" customHeight="false" outlineLevel="0" collapsed="false">
      <c r="A64" s="2" t="s">
        <v>350</v>
      </c>
      <c r="B64" s="2" t="s">
        <v>252</v>
      </c>
      <c r="C64" s="2" t="s">
        <v>253</v>
      </c>
      <c r="D64" s="2" t="s">
        <v>254</v>
      </c>
      <c r="E64" s="2" t="s">
        <v>255</v>
      </c>
      <c r="F64" s="2" t="s">
        <v>295</v>
      </c>
      <c r="G64" s="11" t="n">
        <v>46175</v>
      </c>
      <c r="H64" s="11" t="n">
        <v>46235</v>
      </c>
      <c r="I64" s="2"/>
      <c r="J64" s="2" t="s">
        <v>269</v>
      </c>
      <c r="K64" s="2"/>
      <c r="L64" s="2" t="n">
        <v>400</v>
      </c>
      <c r="M64" s="2" t="n">
        <v>26</v>
      </c>
      <c r="N64" s="2" t="n">
        <v>10400</v>
      </c>
    </row>
    <row r="65" customFormat="false" ht="15" hidden="false" customHeight="false" outlineLevel="0" collapsed="false">
      <c r="A65" s="2" t="s">
        <v>351</v>
      </c>
      <c r="B65" s="2" t="s">
        <v>287</v>
      </c>
      <c r="C65" s="2" t="s">
        <v>288</v>
      </c>
      <c r="D65" s="2" t="s">
        <v>254</v>
      </c>
      <c r="E65" s="2" t="s">
        <v>255</v>
      </c>
      <c r="F65" s="2" t="s">
        <v>283</v>
      </c>
      <c r="G65" s="11" t="n">
        <v>46129</v>
      </c>
      <c r="H65" s="11" t="n">
        <v>46189</v>
      </c>
      <c r="I65" s="11" t="n">
        <v>46198</v>
      </c>
      <c r="J65" s="2" t="s">
        <v>257</v>
      </c>
      <c r="K65" s="2" t="n">
        <v>9</v>
      </c>
      <c r="L65" s="2" t="n">
        <v>150</v>
      </c>
      <c r="M65" s="2" t="n">
        <v>22</v>
      </c>
      <c r="N65" s="2" t="n">
        <v>3300</v>
      </c>
    </row>
    <row r="66" customFormat="false" ht="15" hidden="false" customHeight="false" outlineLevel="0" collapsed="false">
      <c r="A66" s="2" t="s">
        <v>352</v>
      </c>
      <c r="B66" s="2" t="s">
        <v>279</v>
      </c>
      <c r="C66" s="2" t="s">
        <v>280</v>
      </c>
      <c r="D66" s="2" t="s">
        <v>275</v>
      </c>
      <c r="E66" s="2" t="s">
        <v>276</v>
      </c>
      <c r="F66" s="2" t="s">
        <v>271</v>
      </c>
      <c r="G66" s="11" t="n">
        <v>46131</v>
      </c>
      <c r="H66" s="11" t="n">
        <v>46176</v>
      </c>
      <c r="I66" s="11" t="n">
        <v>46176</v>
      </c>
      <c r="J66" s="2" t="s">
        <v>257</v>
      </c>
      <c r="K66" s="2" t="n">
        <v>0</v>
      </c>
      <c r="L66" s="2" t="n">
        <v>400</v>
      </c>
      <c r="M66" s="2" t="n">
        <v>19.5</v>
      </c>
      <c r="N66" s="2" t="n">
        <v>7800</v>
      </c>
    </row>
    <row r="67" customFormat="false" ht="15" hidden="false" customHeight="false" outlineLevel="0" collapsed="false">
      <c r="A67" s="2" t="s">
        <v>353</v>
      </c>
      <c r="B67" s="2" t="s">
        <v>273</v>
      </c>
      <c r="C67" s="2" t="s">
        <v>274</v>
      </c>
      <c r="D67" s="2" t="s">
        <v>275</v>
      </c>
      <c r="E67" s="2" t="s">
        <v>276</v>
      </c>
      <c r="F67" s="2" t="s">
        <v>315</v>
      </c>
      <c r="G67" s="11" t="n">
        <v>46099</v>
      </c>
      <c r="H67" s="11" t="n">
        <v>46144</v>
      </c>
      <c r="I67" s="11" t="n">
        <v>46145</v>
      </c>
      <c r="J67" s="2" t="s">
        <v>257</v>
      </c>
      <c r="K67" s="2" t="n">
        <v>1</v>
      </c>
      <c r="L67" s="2" t="n">
        <v>150</v>
      </c>
      <c r="M67" s="2" t="n">
        <v>11</v>
      </c>
      <c r="N67" s="2" t="n">
        <v>1650</v>
      </c>
    </row>
    <row r="68" customFormat="false" ht="15" hidden="false" customHeight="false" outlineLevel="0" collapsed="false">
      <c r="A68" s="2" t="s">
        <v>354</v>
      </c>
      <c r="B68" s="2" t="s">
        <v>287</v>
      </c>
      <c r="C68" s="2" t="s">
        <v>288</v>
      </c>
      <c r="D68" s="2" t="s">
        <v>254</v>
      </c>
      <c r="E68" s="2" t="s">
        <v>255</v>
      </c>
      <c r="F68" s="2" t="s">
        <v>283</v>
      </c>
      <c r="G68" s="11" t="n">
        <v>46110</v>
      </c>
      <c r="H68" s="11" t="n">
        <v>46170</v>
      </c>
      <c r="I68" s="11" t="n">
        <v>46175</v>
      </c>
      <c r="J68" s="2" t="s">
        <v>257</v>
      </c>
      <c r="K68" s="2" t="n">
        <v>5</v>
      </c>
      <c r="L68" s="2" t="n">
        <v>200</v>
      </c>
      <c r="M68" s="2" t="n">
        <v>22</v>
      </c>
      <c r="N68" s="2" t="n">
        <v>4400</v>
      </c>
    </row>
    <row r="69" customFormat="false" ht="15" hidden="false" customHeight="false" outlineLevel="0" collapsed="false">
      <c r="A69" s="2" t="s">
        <v>355</v>
      </c>
      <c r="B69" s="2" t="s">
        <v>318</v>
      </c>
      <c r="C69" s="2" t="s">
        <v>319</v>
      </c>
      <c r="D69" s="2" t="s">
        <v>275</v>
      </c>
      <c r="E69" s="2" t="s">
        <v>276</v>
      </c>
      <c r="F69" s="2" t="s">
        <v>300</v>
      </c>
      <c r="G69" s="11" t="n">
        <v>46163</v>
      </c>
      <c r="H69" s="11" t="n">
        <v>46208</v>
      </c>
      <c r="I69" s="11" t="n">
        <v>46208</v>
      </c>
      <c r="J69" s="2" t="s">
        <v>257</v>
      </c>
      <c r="K69" s="2" t="n">
        <v>0</v>
      </c>
      <c r="L69" s="2" t="n">
        <v>200</v>
      </c>
      <c r="M69" s="2" t="n">
        <v>14.25</v>
      </c>
      <c r="N69" s="2" t="n">
        <v>2850</v>
      </c>
    </row>
    <row r="70" customFormat="false" ht="15" hidden="false" customHeight="false" outlineLevel="0" collapsed="false">
      <c r="A70" s="2" t="s">
        <v>356</v>
      </c>
      <c r="B70" s="2" t="s">
        <v>252</v>
      </c>
      <c r="C70" s="2" t="s">
        <v>253</v>
      </c>
      <c r="D70" s="2" t="s">
        <v>254</v>
      </c>
      <c r="E70" s="2" t="s">
        <v>255</v>
      </c>
      <c r="F70" s="2" t="s">
        <v>277</v>
      </c>
      <c r="G70" s="11" t="n">
        <v>46131</v>
      </c>
      <c r="H70" s="11" t="n">
        <v>46191</v>
      </c>
      <c r="I70" s="11" t="n">
        <v>46197</v>
      </c>
      <c r="J70" s="2" t="s">
        <v>257</v>
      </c>
      <c r="K70" s="2" t="n">
        <v>6</v>
      </c>
      <c r="L70" s="2" t="n">
        <v>150</v>
      </c>
      <c r="M70" s="2" t="n">
        <v>26</v>
      </c>
      <c r="N70" s="2" t="n">
        <v>3900</v>
      </c>
    </row>
    <row r="71" customFormat="false" ht="15" hidden="false" customHeight="false" outlineLevel="0" collapsed="false">
      <c r="A71" s="2" t="s">
        <v>357</v>
      </c>
      <c r="B71" s="2" t="s">
        <v>273</v>
      </c>
      <c r="C71" s="2" t="s">
        <v>274</v>
      </c>
      <c r="D71" s="2" t="s">
        <v>275</v>
      </c>
      <c r="E71" s="2" t="s">
        <v>276</v>
      </c>
      <c r="F71" s="2" t="s">
        <v>295</v>
      </c>
      <c r="G71" s="11" t="n">
        <v>46097</v>
      </c>
      <c r="H71" s="11" t="n">
        <v>46142</v>
      </c>
      <c r="I71" s="11" t="n">
        <v>46144</v>
      </c>
      <c r="J71" s="2" t="s">
        <v>257</v>
      </c>
      <c r="K71" s="2" t="n">
        <v>2</v>
      </c>
      <c r="L71" s="2" t="n">
        <v>300</v>
      </c>
      <c r="M71" s="2" t="n">
        <v>11</v>
      </c>
      <c r="N71" s="2" t="n">
        <v>3300</v>
      </c>
    </row>
    <row r="72" customFormat="false" ht="15" hidden="false" customHeight="false" outlineLevel="0" collapsed="false">
      <c r="A72" s="2" t="s">
        <v>358</v>
      </c>
      <c r="B72" s="2" t="s">
        <v>279</v>
      </c>
      <c r="C72" s="2" t="s">
        <v>280</v>
      </c>
      <c r="D72" s="2" t="s">
        <v>275</v>
      </c>
      <c r="E72" s="2" t="s">
        <v>276</v>
      </c>
      <c r="F72" s="2" t="s">
        <v>271</v>
      </c>
      <c r="G72" s="11" t="n">
        <v>46173</v>
      </c>
      <c r="H72" s="11" t="n">
        <v>46218</v>
      </c>
      <c r="I72" s="2"/>
      <c r="J72" s="2" t="s">
        <v>269</v>
      </c>
      <c r="K72" s="2"/>
      <c r="L72" s="2" t="n">
        <v>500</v>
      </c>
      <c r="M72" s="2" t="n">
        <v>19.5</v>
      </c>
      <c r="N72" s="2" t="n">
        <v>9750</v>
      </c>
    </row>
    <row r="73" customFormat="false" ht="15" hidden="false" customHeight="false" outlineLevel="0" collapsed="false">
      <c r="A73" s="2" t="s">
        <v>359</v>
      </c>
      <c r="B73" s="2" t="s">
        <v>252</v>
      </c>
      <c r="C73" s="2" t="s">
        <v>253</v>
      </c>
      <c r="D73" s="2" t="s">
        <v>254</v>
      </c>
      <c r="E73" s="2" t="s">
        <v>255</v>
      </c>
      <c r="F73" s="2" t="s">
        <v>256</v>
      </c>
      <c r="G73" s="11" t="n">
        <v>46155</v>
      </c>
      <c r="H73" s="11" t="n">
        <v>46215</v>
      </c>
      <c r="I73" s="2"/>
      <c r="J73" s="2" t="s">
        <v>269</v>
      </c>
      <c r="K73" s="2"/>
      <c r="L73" s="2" t="n">
        <v>500</v>
      </c>
      <c r="M73" s="2" t="n">
        <v>26</v>
      </c>
      <c r="N73" s="2" t="n">
        <v>13000</v>
      </c>
    </row>
    <row r="74" customFormat="false" ht="15" hidden="false" customHeight="false" outlineLevel="0" collapsed="false">
      <c r="A74" s="2" t="s">
        <v>360</v>
      </c>
      <c r="B74" s="2" t="s">
        <v>273</v>
      </c>
      <c r="C74" s="2" t="s">
        <v>274</v>
      </c>
      <c r="D74" s="2" t="s">
        <v>275</v>
      </c>
      <c r="E74" s="2" t="s">
        <v>276</v>
      </c>
      <c r="F74" s="2" t="s">
        <v>290</v>
      </c>
      <c r="G74" s="11" t="n">
        <v>46035</v>
      </c>
      <c r="H74" s="11" t="n">
        <v>46080</v>
      </c>
      <c r="I74" s="11" t="n">
        <v>46081</v>
      </c>
      <c r="J74" s="2" t="s">
        <v>257</v>
      </c>
      <c r="K74" s="2" t="n">
        <v>1</v>
      </c>
      <c r="L74" s="2" t="n">
        <v>600</v>
      </c>
      <c r="M74" s="2" t="n">
        <v>11</v>
      </c>
      <c r="N74" s="2" t="n">
        <v>6600</v>
      </c>
    </row>
    <row r="75" customFormat="false" ht="15" hidden="false" customHeight="false" outlineLevel="0" collapsed="false">
      <c r="A75" s="2" t="s">
        <v>361</v>
      </c>
      <c r="B75" s="2" t="s">
        <v>304</v>
      </c>
      <c r="C75" s="2" t="s">
        <v>305</v>
      </c>
      <c r="D75" s="2" t="s">
        <v>261</v>
      </c>
      <c r="E75" s="2" t="s">
        <v>262</v>
      </c>
      <c r="F75" s="2" t="s">
        <v>285</v>
      </c>
      <c r="G75" s="11" t="n">
        <v>46079</v>
      </c>
      <c r="H75" s="11" t="n">
        <v>46109</v>
      </c>
      <c r="I75" s="11" t="n">
        <v>46110</v>
      </c>
      <c r="J75" s="2" t="s">
        <v>257</v>
      </c>
      <c r="K75" s="2" t="n">
        <v>1</v>
      </c>
      <c r="L75" s="2" t="n">
        <v>500</v>
      </c>
      <c r="M75" s="2" t="n">
        <v>38</v>
      </c>
      <c r="N75" s="2" t="n">
        <v>19000</v>
      </c>
    </row>
    <row r="76" customFormat="false" ht="15" hidden="false" customHeight="false" outlineLevel="0" collapsed="false">
      <c r="A76" s="2" t="s">
        <v>362</v>
      </c>
      <c r="B76" s="2" t="s">
        <v>252</v>
      </c>
      <c r="C76" s="2" t="s">
        <v>253</v>
      </c>
      <c r="D76" s="2" t="s">
        <v>254</v>
      </c>
      <c r="E76" s="2" t="s">
        <v>255</v>
      </c>
      <c r="F76" s="2" t="s">
        <v>293</v>
      </c>
      <c r="G76" s="11" t="n">
        <v>46113</v>
      </c>
      <c r="H76" s="11" t="n">
        <v>46173</v>
      </c>
      <c r="I76" s="11" t="n">
        <v>46184</v>
      </c>
      <c r="J76" s="2" t="s">
        <v>257</v>
      </c>
      <c r="K76" s="2" t="n">
        <v>11</v>
      </c>
      <c r="L76" s="2" t="n">
        <v>150</v>
      </c>
      <c r="M76" s="2" t="n">
        <v>26</v>
      </c>
      <c r="N76" s="2" t="n">
        <v>3900</v>
      </c>
    </row>
    <row r="77" customFormat="false" ht="15" hidden="false" customHeight="false" outlineLevel="0" collapsed="false">
      <c r="A77" s="2" t="s">
        <v>363</v>
      </c>
      <c r="B77" s="2" t="s">
        <v>318</v>
      </c>
      <c r="C77" s="2" t="s">
        <v>319</v>
      </c>
      <c r="D77" s="2" t="s">
        <v>275</v>
      </c>
      <c r="E77" s="2" t="s">
        <v>276</v>
      </c>
      <c r="F77" s="2" t="s">
        <v>263</v>
      </c>
      <c r="G77" s="11" t="n">
        <v>46166</v>
      </c>
      <c r="H77" s="11" t="n">
        <v>46211</v>
      </c>
      <c r="I77" s="11" t="n">
        <v>46212</v>
      </c>
      <c r="J77" s="2" t="s">
        <v>257</v>
      </c>
      <c r="K77" s="2" t="n">
        <v>1</v>
      </c>
      <c r="L77" s="2" t="n">
        <v>200</v>
      </c>
      <c r="M77" s="2" t="n">
        <v>14.25</v>
      </c>
      <c r="N77" s="2" t="n">
        <v>2850</v>
      </c>
    </row>
    <row r="78" customFormat="false" ht="15" hidden="false" customHeight="false" outlineLevel="0" collapsed="false">
      <c r="A78" s="2" t="s">
        <v>364</v>
      </c>
      <c r="B78" s="2" t="s">
        <v>273</v>
      </c>
      <c r="C78" s="2" t="s">
        <v>274</v>
      </c>
      <c r="D78" s="2" t="s">
        <v>275</v>
      </c>
      <c r="E78" s="2" t="s">
        <v>276</v>
      </c>
      <c r="F78" s="2" t="s">
        <v>300</v>
      </c>
      <c r="G78" s="11" t="n">
        <v>46007</v>
      </c>
      <c r="H78" s="11" t="n">
        <v>46052</v>
      </c>
      <c r="I78" s="11" t="n">
        <v>46052</v>
      </c>
      <c r="J78" s="2" t="s">
        <v>257</v>
      </c>
      <c r="K78" s="2" t="n">
        <v>0</v>
      </c>
      <c r="L78" s="2" t="n">
        <v>150</v>
      </c>
      <c r="M78" s="2" t="n">
        <v>11</v>
      </c>
      <c r="N78" s="2" t="n">
        <v>1650</v>
      </c>
    </row>
    <row r="79" customFormat="false" ht="15" hidden="false" customHeight="false" outlineLevel="0" collapsed="false">
      <c r="A79" s="2" t="s">
        <v>365</v>
      </c>
      <c r="B79" s="2" t="s">
        <v>265</v>
      </c>
      <c r="C79" s="2" t="s">
        <v>266</v>
      </c>
      <c r="D79" s="2" t="s">
        <v>267</v>
      </c>
      <c r="E79" s="2" t="s">
        <v>255</v>
      </c>
      <c r="F79" s="2" t="s">
        <v>271</v>
      </c>
      <c r="G79" s="11" t="n">
        <v>46013</v>
      </c>
      <c r="H79" s="11" t="n">
        <v>46078</v>
      </c>
      <c r="I79" s="11" t="n">
        <v>46089</v>
      </c>
      <c r="J79" s="2" t="s">
        <v>257</v>
      </c>
      <c r="K79" s="2" t="n">
        <v>11</v>
      </c>
      <c r="L79" s="2" t="n">
        <v>250</v>
      </c>
      <c r="M79" s="2" t="n">
        <v>30</v>
      </c>
      <c r="N79" s="2" t="n">
        <v>7500</v>
      </c>
    </row>
    <row r="80" customFormat="false" ht="15" hidden="false" customHeight="false" outlineLevel="0" collapsed="false">
      <c r="A80" s="2" t="s">
        <v>366</v>
      </c>
      <c r="B80" s="2" t="s">
        <v>304</v>
      </c>
      <c r="C80" s="2" t="s">
        <v>305</v>
      </c>
      <c r="D80" s="2" t="s">
        <v>261</v>
      </c>
      <c r="E80" s="2" t="s">
        <v>262</v>
      </c>
      <c r="F80" s="2" t="s">
        <v>268</v>
      </c>
      <c r="G80" s="11" t="n">
        <v>46069</v>
      </c>
      <c r="H80" s="11" t="n">
        <v>46099</v>
      </c>
      <c r="I80" s="11" t="n">
        <v>46099</v>
      </c>
      <c r="J80" s="2" t="s">
        <v>257</v>
      </c>
      <c r="K80" s="2" t="n">
        <v>0</v>
      </c>
      <c r="L80" s="2" t="n">
        <v>600</v>
      </c>
      <c r="M80" s="2" t="n">
        <v>38</v>
      </c>
      <c r="N80" s="2" t="n">
        <v>22800</v>
      </c>
    </row>
    <row r="81" customFormat="false" ht="15" hidden="false" customHeight="false" outlineLevel="0" collapsed="false">
      <c r="A81" s="2" t="s">
        <v>367</v>
      </c>
      <c r="B81" s="2" t="s">
        <v>287</v>
      </c>
      <c r="C81" s="2" t="s">
        <v>288</v>
      </c>
      <c r="D81" s="2" t="s">
        <v>254</v>
      </c>
      <c r="E81" s="2" t="s">
        <v>255</v>
      </c>
      <c r="F81" s="2" t="s">
        <v>293</v>
      </c>
      <c r="G81" s="11" t="n">
        <v>46132</v>
      </c>
      <c r="H81" s="11" t="n">
        <v>46192</v>
      </c>
      <c r="I81" s="11" t="n">
        <v>46197</v>
      </c>
      <c r="J81" s="2" t="s">
        <v>257</v>
      </c>
      <c r="K81" s="2" t="n">
        <v>5</v>
      </c>
      <c r="L81" s="2" t="n">
        <v>600</v>
      </c>
      <c r="M81" s="2" t="n">
        <v>22</v>
      </c>
      <c r="N81" s="2" t="n">
        <v>13200</v>
      </c>
    </row>
    <row r="82" customFormat="false" ht="15" hidden="false" customHeight="false" outlineLevel="0" collapsed="false">
      <c r="A82" s="2" t="s">
        <v>368</v>
      </c>
      <c r="B82" s="2" t="s">
        <v>279</v>
      </c>
      <c r="C82" s="2" t="s">
        <v>280</v>
      </c>
      <c r="D82" s="2" t="s">
        <v>275</v>
      </c>
      <c r="E82" s="2" t="s">
        <v>276</v>
      </c>
      <c r="F82" s="2" t="s">
        <v>283</v>
      </c>
      <c r="G82" s="11" t="n">
        <v>46133</v>
      </c>
      <c r="H82" s="11" t="n">
        <v>46178</v>
      </c>
      <c r="I82" s="11" t="n">
        <v>46180</v>
      </c>
      <c r="J82" s="2" t="s">
        <v>257</v>
      </c>
      <c r="K82" s="2" t="n">
        <v>2</v>
      </c>
      <c r="L82" s="2" t="n">
        <v>200</v>
      </c>
      <c r="M82" s="2" t="n">
        <v>19.5</v>
      </c>
      <c r="N82" s="2" t="n">
        <v>3900</v>
      </c>
    </row>
    <row r="83" customFormat="false" ht="15" hidden="false" customHeight="false" outlineLevel="0" collapsed="false">
      <c r="A83" s="2" t="s">
        <v>369</v>
      </c>
      <c r="B83" s="2" t="s">
        <v>287</v>
      </c>
      <c r="C83" s="2" t="s">
        <v>288</v>
      </c>
      <c r="D83" s="2" t="s">
        <v>254</v>
      </c>
      <c r="E83" s="2" t="s">
        <v>255</v>
      </c>
      <c r="F83" s="2" t="s">
        <v>293</v>
      </c>
      <c r="G83" s="11" t="n">
        <v>46089</v>
      </c>
      <c r="H83" s="11" t="n">
        <v>46149</v>
      </c>
      <c r="I83" s="11" t="n">
        <v>46156</v>
      </c>
      <c r="J83" s="2" t="s">
        <v>257</v>
      </c>
      <c r="K83" s="2" t="n">
        <v>7</v>
      </c>
      <c r="L83" s="2" t="n">
        <v>400</v>
      </c>
      <c r="M83" s="2" t="n">
        <v>22</v>
      </c>
      <c r="N83" s="2" t="n">
        <v>8800</v>
      </c>
    </row>
    <row r="84" customFormat="false" ht="15" hidden="false" customHeight="false" outlineLevel="0" collapsed="false">
      <c r="A84" s="2" t="s">
        <v>370</v>
      </c>
      <c r="B84" s="2" t="s">
        <v>279</v>
      </c>
      <c r="C84" s="2" t="s">
        <v>280</v>
      </c>
      <c r="D84" s="2" t="s">
        <v>275</v>
      </c>
      <c r="E84" s="2" t="s">
        <v>276</v>
      </c>
      <c r="F84" s="2" t="s">
        <v>277</v>
      </c>
      <c r="G84" s="11" t="n">
        <v>46164</v>
      </c>
      <c r="H84" s="11" t="n">
        <v>46209</v>
      </c>
      <c r="I84" s="11" t="n">
        <v>46210</v>
      </c>
      <c r="J84" s="2" t="s">
        <v>257</v>
      </c>
      <c r="K84" s="2" t="n">
        <v>1</v>
      </c>
      <c r="L84" s="2" t="n">
        <v>250</v>
      </c>
      <c r="M84" s="2" t="n">
        <v>19.5</v>
      </c>
      <c r="N84" s="2" t="n">
        <v>4875</v>
      </c>
    </row>
    <row r="85" customFormat="false" ht="15" hidden="false" customHeight="false" outlineLevel="0" collapsed="false">
      <c r="A85" s="2" t="s">
        <v>371</v>
      </c>
      <c r="B85" s="2" t="s">
        <v>318</v>
      </c>
      <c r="C85" s="2" t="s">
        <v>319</v>
      </c>
      <c r="D85" s="2" t="s">
        <v>275</v>
      </c>
      <c r="E85" s="2" t="s">
        <v>276</v>
      </c>
      <c r="F85" s="2" t="s">
        <v>290</v>
      </c>
      <c r="G85" s="11" t="n">
        <v>46174</v>
      </c>
      <c r="H85" s="11" t="n">
        <v>46219</v>
      </c>
      <c r="I85" s="2"/>
      <c r="J85" s="2" t="s">
        <v>269</v>
      </c>
      <c r="K85" s="2"/>
      <c r="L85" s="2" t="n">
        <v>150</v>
      </c>
      <c r="M85" s="2" t="n">
        <v>14.25</v>
      </c>
      <c r="N85" s="2" t="n">
        <v>2137.5</v>
      </c>
    </row>
    <row r="86" customFormat="false" ht="15" hidden="false" customHeight="false" outlineLevel="0" collapsed="false">
      <c r="A86" s="2" t="s">
        <v>372</v>
      </c>
      <c r="B86" s="2" t="s">
        <v>252</v>
      </c>
      <c r="C86" s="2" t="s">
        <v>253</v>
      </c>
      <c r="D86" s="2" t="s">
        <v>254</v>
      </c>
      <c r="E86" s="2" t="s">
        <v>255</v>
      </c>
      <c r="F86" s="2" t="s">
        <v>293</v>
      </c>
      <c r="G86" s="11" t="n">
        <v>46009</v>
      </c>
      <c r="H86" s="11" t="n">
        <v>46069</v>
      </c>
      <c r="I86" s="11" t="n">
        <v>46079</v>
      </c>
      <c r="J86" s="2" t="s">
        <v>257</v>
      </c>
      <c r="K86" s="2" t="n">
        <v>10</v>
      </c>
      <c r="L86" s="2" t="n">
        <v>600</v>
      </c>
      <c r="M86" s="2" t="n">
        <v>26</v>
      </c>
      <c r="N86" s="2" t="n">
        <v>15600</v>
      </c>
    </row>
    <row r="87" customFormat="false" ht="15" hidden="false" customHeight="false" outlineLevel="0" collapsed="false">
      <c r="A87" s="2" t="s">
        <v>373</v>
      </c>
      <c r="B87" s="2" t="s">
        <v>273</v>
      </c>
      <c r="C87" s="2" t="s">
        <v>274</v>
      </c>
      <c r="D87" s="2" t="s">
        <v>275</v>
      </c>
      <c r="E87" s="2" t="s">
        <v>276</v>
      </c>
      <c r="F87" s="2" t="s">
        <v>285</v>
      </c>
      <c r="G87" s="11" t="n">
        <v>46072</v>
      </c>
      <c r="H87" s="11" t="n">
        <v>46117</v>
      </c>
      <c r="I87" s="11" t="n">
        <v>46119</v>
      </c>
      <c r="J87" s="2" t="s">
        <v>257</v>
      </c>
      <c r="K87" s="2" t="n">
        <v>2</v>
      </c>
      <c r="L87" s="2" t="n">
        <v>250</v>
      </c>
      <c r="M87" s="2" t="n">
        <v>11</v>
      </c>
      <c r="N87" s="2" t="n">
        <v>2750</v>
      </c>
    </row>
    <row r="88" customFormat="false" ht="15" hidden="false" customHeight="false" outlineLevel="0" collapsed="false">
      <c r="A88" s="2" t="s">
        <v>374</v>
      </c>
      <c r="B88" s="2" t="s">
        <v>252</v>
      </c>
      <c r="C88" s="2" t="s">
        <v>253</v>
      </c>
      <c r="D88" s="2" t="s">
        <v>254</v>
      </c>
      <c r="E88" s="2" t="s">
        <v>255</v>
      </c>
      <c r="F88" s="2" t="s">
        <v>293</v>
      </c>
      <c r="G88" s="11" t="n">
        <v>46184</v>
      </c>
      <c r="H88" s="11" t="n">
        <v>46244</v>
      </c>
      <c r="I88" s="2"/>
      <c r="J88" s="2" t="s">
        <v>269</v>
      </c>
      <c r="K88" s="2"/>
      <c r="L88" s="2" t="n">
        <v>150</v>
      </c>
      <c r="M88" s="2" t="n">
        <v>26</v>
      </c>
      <c r="N88" s="2" t="n">
        <v>3900</v>
      </c>
    </row>
    <row r="89" customFormat="false" ht="15" hidden="false" customHeight="false" outlineLevel="0" collapsed="false">
      <c r="A89" s="2" t="s">
        <v>375</v>
      </c>
      <c r="B89" s="2" t="s">
        <v>279</v>
      </c>
      <c r="C89" s="2" t="s">
        <v>280</v>
      </c>
      <c r="D89" s="2" t="s">
        <v>275</v>
      </c>
      <c r="E89" s="2" t="s">
        <v>276</v>
      </c>
      <c r="F89" s="2" t="s">
        <v>285</v>
      </c>
      <c r="G89" s="11" t="n">
        <v>46016</v>
      </c>
      <c r="H89" s="11" t="n">
        <v>46061</v>
      </c>
      <c r="I89" s="11" t="n">
        <v>46062</v>
      </c>
      <c r="J89" s="2" t="s">
        <v>257</v>
      </c>
      <c r="K89" s="2" t="n">
        <v>1</v>
      </c>
      <c r="L89" s="2" t="n">
        <v>600</v>
      </c>
      <c r="M89" s="2" t="n">
        <v>19.5</v>
      </c>
      <c r="N89" s="2" t="n">
        <v>11700</v>
      </c>
    </row>
    <row r="90" customFormat="false" ht="15" hidden="false" customHeight="false" outlineLevel="0" collapsed="false">
      <c r="A90" s="2" t="s">
        <v>376</v>
      </c>
      <c r="B90" s="2" t="s">
        <v>259</v>
      </c>
      <c r="C90" s="2" t="s">
        <v>260</v>
      </c>
      <c r="D90" s="2" t="s">
        <v>261</v>
      </c>
      <c r="E90" s="2" t="s">
        <v>262</v>
      </c>
      <c r="F90" s="2" t="s">
        <v>271</v>
      </c>
      <c r="G90" s="11" t="n">
        <v>46014</v>
      </c>
      <c r="H90" s="11" t="n">
        <v>46044</v>
      </c>
      <c r="I90" s="11" t="n">
        <v>46044</v>
      </c>
      <c r="J90" s="2" t="s">
        <v>257</v>
      </c>
      <c r="K90" s="2" t="n">
        <v>0</v>
      </c>
      <c r="L90" s="2" t="n">
        <v>150</v>
      </c>
      <c r="M90" s="2" t="n">
        <v>46</v>
      </c>
      <c r="N90" s="2" t="n">
        <v>6900</v>
      </c>
    </row>
    <row r="91" customFormat="false" ht="15" hidden="false" customHeight="false" outlineLevel="0" collapsed="false">
      <c r="A91" s="2" t="s">
        <v>377</v>
      </c>
      <c r="B91" s="2" t="s">
        <v>318</v>
      </c>
      <c r="C91" s="2" t="s">
        <v>319</v>
      </c>
      <c r="D91" s="2" t="s">
        <v>275</v>
      </c>
      <c r="E91" s="2" t="s">
        <v>276</v>
      </c>
      <c r="F91" s="2" t="s">
        <v>271</v>
      </c>
      <c r="G91" s="11" t="n">
        <v>46020</v>
      </c>
      <c r="H91" s="11" t="n">
        <v>46065</v>
      </c>
      <c r="I91" s="11" t="n">
        <v>46067</v>
      </c>
      <c r="J91" s="2" t="s">
        <v>257</v>
      </c>
      <c r="K91" s="2" t="n">
        <v>2</v>
      </c>
      <c r="L91" s="2" t="n">
        <v>300</v>
      </c>
      <c r="M91" s="2" t="n">
        <v>14.25</v>
      </c>
      <c r="N91" s="2" t="n">
        <v>4275</v>
      </c>
    </row>
    <row r="92" customFormat="false" ht="15" hidden="false" customHeight="false" outlineLevel="0" collapsed="false">
      <c r="A92" s="2" t="s">
        <v>378</v>
      </c>
      <c r="B92" s="2" t="s">
        <v>273</v>
      </c>
      <c r="C92" s="2" t="s">
        <v>274</v>
      </c>
      <c r="D92" s="2" t="s">
        <v>275</v>
      </c>
      <c r="E92" s="2" t="s">
        <v>276</v>
      </c>
      <c r="F92" s="2" t="s">
        <v>285</v>
      </c>
      <c r="G92" s="11" t="n">
        <v>46118</v>
      </c>
      <c r="H92" s="11" t="n">
        <v>46163</v>
      </c>
      <c r="I92" s="11" t="n">
        <v>46163</v>
      </c>
      <c r="J92" s="2" t="s">
        <v>257</v>
      </c>
      <c r="K92" s="2" t="n">
        <v>0</v>
      </c>
      <c r="L92" s="2" t="n">
        <v>300</v>
      </c>
      <c r="M92" s="2" t="n">
        <v>11</v>
      </c>
      <c r="N92" s="2" t="n">
        <v>3300</v>
      </c>
    </row>
    <row r="93" customFormat="false" ht="15" hidden="false" customHeight="false" outlineLevel="0" collapsed="false">
      <c r="A93" s="2" t="s">
        <v>379</v>
      </c>
      <c r="B93" s="2" t="s">
        <v>265</v>
      </c>
      <c r="C93" s="2" t="s">
        <v>266</v>
      </c>
      <c r="D93" s="2" t="s">
        <v>267</v>
      </c>
      <c r="E93" s="2" t="s">
        <v>255</v>
      </c>
      <c r="F93" s="2" t="s">
        <v>285</v>
      </c>
      <c r="G93" s="11" t="n">
        <v>46150</v>
      </c>
      <c r="H93" s="11" t="n">
        <v>46215</v>
      </c>
      <c r="I93" s="2"/>
      <c r="J93" s="2" t="s">
        <v>269</v>
      </c>
      <c r="K93" s="2"/>
      <c r="L93" s="2" t="n">
        <v>500</v>
      </c>
      <c r="M93" s="2" t="n">
        <v>30</v>
      </c>
      <c r="N93" s="2" t="n">
        <v>15000</v>
      </c>
    </row>
    <row r="94" customFormat="false" ht="15" hidden="false" customHeight="false" outlineLevel="0" collapsed="false">
      <c r="A94" s="2" t="s">
        <v>380</v>
      </c>
      <c r="B94" s="2" t="s">
        <v>259</v>
      </c>
      <c r="C94" s="2" t="s">
        <v>260</v>
      </c>
      <c r="D94" s="2" t="s">
        <v>261</v>
      </c>
      <c r="E94" s="2" t="s">
        <v>262</v>
      </c>
      <c r="F94" s="2" t="s">
        <v>268</v>
      </c>
      <c r="G94" s="11" t="n">
        <v>46021</v>
      </c>
      <c r="H94" s="11" t="n">
        <v>46051</v>
      </c>
      <c r="I94" s="11" t="n">
        <v>46052</v>
      </c>
      <c r="J94" s="2" t="s">
        <v>257</v>
      </c>
      <c r="K94" s="2" t="n">
        <v>1</v>
      </c>
      <c r="L94" s="2" t="n">
        <v>600</v>
      </c>
      <c r="M94" s="2" t="n">
        <v>46</v>
      </c>
      <c r="N94" s="2" t="n">
        <v>27600</v>
      </c>
    </row>
    <row r="95" customFormat="false" ht="15" hidden="false" customHeight="false" outlineLevel="0" collapsed="false">
      <c r="A95" s="2" t="s">
        <v>381</v>
      </c>
      <c r="B95" s="2" t="s">
        <v>318</v>
      </c>
      <c r="C95" s="2" t="s">
        <v>319</v>
      </c>
      <c r="D95" s="2" t="s">
        <v>275</v>
      </c>
      <c r="E95" s="2" t="s">
        <v>276</v>
      </c>
      <c r="F95" s="2" t="s">
        <v>268</v>
      </c>
      <c r="G95" s="11" t="n">
        <v>46028</v>
      </c>
      <c r="H95" s="11" t="n">
        <v>46073</v>
      </c>
      <c r="I95" s="11" t="n">
        <v>46074</v>
      </c>
      <c r="J95" s="2" t="s">
        <v>257</v>
      </c>
      <c r="K95" s="2" t="n">
        <v>1</v>
      </c>
      <c r="L95" s="2" t="n">
        <v>200</v>
      </c>
      <c r="M95" s="2" t="n">
        <v>14.25</v>
      </c>
      <c r="N95" s="2" t="n">
        <v>2850</v>
      </c>
    </row>
    <row r="96" customFormat="false" ht="15" hidden="false" customHeight="false" outlineLevel="0" collapsed="false">
      <c r="A96" s="2" t="s">
        <v>382</v>
      </c>
      <c r="B96" s="2" t="s">
        <v>259</v>
      </c>
      <c r="C96" s="2" t="s">
        <v>260</v>
      </c>
      <c r="D96" s="2" t="s">
        <v>261</v>
      </c>
      <c r="E96" s="2" t="s">
        <v>262</v>
      </c>
      <c r="F96" s="2" t="s">
        <v>293</v>
      </c>
      <c r="G96" s="11" t="n">
        <v>46125</v>
      </c>
      <c r="H96" s="11" t="n">
        <v>46155</v>
      </c>
      <c r="I96" s="11" t="n">
        <v>46156</v>
      </c>
      <c r="J96" s="2" t="s">
        <v>257</v>
      </c>
      <c r="K96" s="2" t="n">
        <v>1</v>
      </c>
      <c r="L96" s="2" t="n">
        <v>500</v>
      </c>
      <c r="M96" s="2" t="n">
        <v>46</v>
      </c>
      <c r="N96" s="2" t="n">
        <v>23000</v>
      </c>
    </row>
    <row r="97" customFormat="false" ht="15" hidden="false" customHeight="false" outlineLevel="0" collapsed="false">
      <c r="A97" s="2" t="s">
        <v>383</v>
      </c>
      <c r="B97" s="2" t="s">
        <v>304</v>
      </c>
      <c r="C97" s="2" t="s">
        <v>305</v>
      </c>
      <c r="D97" s="2" t="s">
        <v>261</v>
      </c>
      <c r="E97" s="2" t="s">
        <v>262</v>
      </c>
      <c r="F97" s="2" t="s">
        <v>293</v>
      </c>
      <c r="G97" s="11" t="n">
        <v>46130</v>
      </c>
      <c r="H97" s="11" t="n">
        <v>46160</v>
      </c>
      <c r="I97" s="11" t="n">
        <v>46160</v>
      </c>
      <c r="J97" s="2" t="s">
        <v>257</v>
      </c>
      <c r="K97" s="2" t="n">
        <v>0</v>
      </c>
      <c r="L97" s="2" t="n">
        <v>500</v>
      </c>
      <c r="M97" s="2" t="n">
        <v>38</v>
      </c>
      <c r="N97" s="2" t="n">
        <v>19000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4" min="3" style="0" width="11"/>
    <col collapsed="false" customWidth="true" hidden="false" outlineLevel="0" max="5" min="5" style="0" width="20"/>
    <col collapsed="false" customWidth="true" hidden="false" outlineLevel="0" max="6" min="6" style="0" width="11"/>
    <col collapsed="false" customWidth="true" hidden="false" outlineLevel="0" max="7" min="7" style="0" width="19"/>
    <col collapsed="false" customWidth="true" hidden="false" outlineLevel="0" max="8" min="8" style="0" width="17"/>
    <col collapsed="false" customWidth="true" hidden="false" outlineLevel="0" max="9" min="9" style="0" width="12"/>
    <col collapsed="false" customWidth="true" hidden="false" outlineLevel="0" max="10" min="10" style="0" width="17"/>
    <col collapsed="false" customWidth="true" hidden="false" outlineLevel="0" max="11" min="11" style="0" width="11"/>
    <col collapsed="false" customWidth="true" hidden="false" outlineLevel="0" max="12" min="12" style="0" width="14"/>
    <col collapsed="false" customWidth="true" hidden="false" outlineLevel="0" max="13" min="13" style="0" width="13"/>
    <col collapsed="false" customWidth="true" hidden="false" outlineLevel="0" max="15" min="14" style="0" width="19"/>
    <col collapsed="false" customWidth="true" hidden="false" outlineLevel="0" max="16" min="16" style="0" width="20"/>
    <col collapsed="false" customWidth="true" hidden="false" outlineLevel="0" max="17" min="17" style="0" width="19"/>
    <col collapsed="false" customWidth="true" hidden="false" outlineLevel="0" max="18" min="18" style="0" width="20"/>
    <col collapsed="false" customWidth="true" hidden="false" outlineLevel="0" max="19" min="19" style="0" width="16"/>
    <col collapsed="false" customWidth="true" hidden="false" outlineLevel="0" max="20" min="20" style="0" width="20"/>
    <col collapsed="false" customWidth="true" hidden="false" outlineLevel="0" max="21" min="21" style="0" width="11"/>
  </cols>
  <sheetData>
    <row r="1" customFormat="false" ht="15" hidden="false" customHeight="false" outlineLevel="0" collapsed="false">
      <c r="A1" s="10" t="s">
        <v>51</v>
      </c>
      <c r="B1" s="10" t="s">
        <v>245</v>
      </c>
      <c r="C1" s="10" t="s">
        <v>384</v>
      </c>
      <c r="D1" s="10" t="s">
        <v>385</v>
      </c>
      <c r="E1" s="10" t="s">
        <v>386</v>
      </c>
      <c r="F1" s="10" t="s">
        <v>54</v>
      </c>
      <c r="G1" s="10" t="s">
        <v>246</v>
      </c>
      <c r="H1" s="10" t="s">
        <v>85</v>
      </c>
      <c r="I1" s="10" t="s">
        <v>387</v>
      </c>
      <c r="J1" s="10" t="s">
        <v>93</v>
      </c>
      <c r="K1" s="10" t="s">
        <v>388</v>
      </c>
      <c r="L1" s="10" t="s">
        <v>96</v>
      </c>
      <c r="M1" s="10" t="s">
        <v>389</v>
      </c>
      <c r="N1" s="10" t="s">
        <v>89</v>
      </c>
      <c r="O1" s="10" t="s">
        <v>390</v>
      </c>
      <c r="P1" s="10" t="s">
        <v>391</v>
      </c>
      <c r="Q1" s="10" t="s">
        <v>392</v>
      </c>
      <c r="R1" s="10" t="s">
        <v>393</v>
      </c>
      <c r="S1" s="10" t="s">
        <v>394</v>
      </c>
      <c r="T1" s="10" t="s">
        <v>395</v>
      </c>
      <c r="U1" s="10" t="s">
        <v>396</v>
      </c>
    </row>
    <row r="2" customFormat="false" ht="15" hidden="false" customHeight="false" outlineLevel="0" collapsed="false">
      <c r="A2" s="2" t="s">
        <v>304</v>
      </c>
      <c r="B2" s="2" t="s">
        <v>305</v>
      </c>
      <c r="C2" s="2" t="s">
        <v>397</v>
      </c>
      <c r="D2" s="2" t="s">
        <v>398</v>
      </c>
      <c r="E2" s="2" t="s">
        <v>399</v>
      </c>
      <c r="F2" s="2" t="s">
        <v>261</v>
      </c>
      <c r="G2" s="2" t="s">
        <v>262</v>
      </c>
      <c r="H2" s="2" t="n">
        <v>30</v>
      </c>
      <c r="I2" s="2" t="n">
        <v>200</v>
      </c>
      <c r="J2" s="2" t="n">
        <v>38</v>
      </c>
      <c r="K2" s="2" t="n">
        <v>98</v>
      </c>
      <c r="L2" s="2" t="n">
        <v>60</v>
      </c>
      <c r="M2" s="2" t="n">
        <v>0.612</v>
      </c>
      <c r="N2" s="2" t="n">
        <v>12</v>
      </c>
      <c r="O2" s="2" t="s">
        <v>400</v>
      </c>
      <c r="P2" s="2" t="n">
        <v>850</v>
      </c>
      <c r="Q2" s="2" t="n">
        <v>32300</v>
      </c>
      <c r="R2" s="2" t="n">
        <v>83300</v>
      </c>
      <c r="S2" s="11" t="n">
        <v>46277</v>
      </c>
      <c r="T2" s="2" t="n">
        <v>60</v>
      </c>
      <c r="U2" s="2"/>
    </row>
    <row r="3" customFormat="false" ht="15" hidden="false" customHeight="false" outlineLevel="0" collapsed="false">
      <c r="A3" s="2" t="s">
        <v>259</v>
      </c>
      <c r="B3" s="2" t="s">
        <v>260</v>
      </c>
      <c r="C3" s="2" t="s">
        <v>397</v>
      </c>
      <c r="D3" s="2" t="s">
        <v>401</v>
      </c>
      <c r="E3" s="2" t="s">
        <v>399</v>
      </c>
      <c r="F3" s="2" t="s">
        <v>261</v>
      </c>
      <c r="G3" s="2" t="s">
        <v>262</v>
      </c>
      <c r="H3" s="2" t="n">
        <v>35</v>
      </c>
      <c r="I3" s="2" t="n">
        <v>150</v>
      </c>
      <c r="J3" s="2" t="n">
        <v>46</v>
      </c>
      <c r="K3" s="2" t="n">
        <v>118</v>
      </c>
      <c r="L3" s="2" t="n">
        <v>72</v>
      </c>
      <c r="M3" s="2" t="n">
        <v>0.61</v>
      </c>
      <c r="N3" s="2" t="n">
        <v>8</v>
      </c>
      <c r="O3" s="2" t="s">
        <v>402</v>
      </c>
      <c r="P3" s="2" t="n">
        <v>0</v>
      </c>
      <c r="Q3" s="2" t="n">
        <v>0</v>
      </c>
      <c r="R3" s="2" t="n">
        <v>0</v>
      </c>
      <c r="S3" s="2"/>
      <c r="T3" s="2"/>
      <c r="U3" s="2" t="s">
        <v>403</v>
      </c>
    </row>
    <row r="4" customFormat="false" ht="15" hidden="false" customHeight="false" outlineLevel="0" collapsed="false">
      <c r="A4" s="2" t="s">
        <v>318</v>
      </c>
      <c r="B4" s="2" t="s">
        <v>319</v>
      </c>
      <c r="C4" s="2" t="s">
        <v>404</v>
      </c>
      <c r="D4" s="2" t="s">
        <v>405</v>
      </c>
      <c r="E4" s="2" t="s">
        <v>406</v>
      </c>
      <c r="F4" s="2" t="s">
        <v>275</v>
      </c>
      <c r="G4" s="2" t="s">
        <v>276</v>
      </c>
      <c r="H4" s="2" t="n">
        <v>45</v>
      </c>
      <c r="I4" s="2" t="n">
        <v>500</v>
      </c>
      <c r="J4" s="2" t="n">
        <v>14.25</v>
      </c>
      <c r="K4" s="2" t="n">
        <v>38</v>
      </c>
      <c r="L4" s="2" t="n">
        <v>23.75</v>
      </c>
      <c r="M4" s="2" t="n">
        <v>0.625</v>
      </c>
      <c r="N4" s="2" t="n">
        <v>24</v>
      </c>
      <c r="O4" s="2" t="s">
        <v>400</v>
      </c>
      <c r="P4" s="2" t="n">
        <v>1600</v>
      </c>
      <c r="Q4" s="2" t="n">
        <v>22800</v>
      </c>
      <c r="R4" s="2" t="n">
        <v>60800</v>
      </c>
      <c r="S4" s="11" t="n">
        <v>46262</v>
      </c>
      <c r="T4" s="2" t="n">
        <v>45</v>
      </c>
      <c r="U4" s="2"/>
    </row>
    <row r="5" customFormat="false" ht="15" hidden="false" customHeight="false" outlineLevel="0" collapsed="false">
      <c r="A5" s="2" t="s">
        <v>279</v>
      </c>
      <c r="B5" s="2" t="s">
        <v>280</v>
      </c>
      <c r="C5" s="2" t="s">
        <v>404</v>
      </c>
      <c r="D5" s="2" t="s">
        <v>407</v>
      </c>
      <c r="E5" s="2" t="s">
        <v>399</v>
      </c>
      <c r="F5" s="2" t="s">
        <v>275</v>
      </c>
      <c r="G5" s="2" t="s">
        <v>276</v>
      </c>
      <c r="H5" s="2" t="n">
        <v>45</v>
      </c>
      <c r="I5" s="2" t="n">
        <v>400</v>
      </c>
      <c r="J5" s="2" t="n">
        <v>19.5</v>
      </c>
      <c r="K5" s="2" t="n">
        <v>52</v>
      </c>
      <c r="L5" s="2" t="n">
        <v>32.5</v>
      </c>
      <c r="M5" s="2" t="n">
        <v>0.625</v>
      </c>
      <c r="N5" s="2" t="n">
        <v>24</v>
      </c>
      <c r="O5" s="2" t="s">
        <v>402</v>
      </c>
      <c r="P5" s="2" t="n">
        <v>0</v>
      </c>
      <c r="Q5" s="2" t="n">
        <v>0</v>
      </c>
      <c r="R5" s="2" t="n">
        <v>0</v>
      </c>
      <c r="S5" s="2"/>
      <c r="T5" s="2"/>
      <c r="U5" s="2" t="s">
        <v>403</v>
      </c>
    </row>
    <row r="6" customFormat="false" ht="15" hidden="false" customHeight="false" outlineLevel="0" collapsed="false">
      <c r="A6" s="2" t="s">
        <v>273</v>
      </c>
      <c r="B6" s="2" t="s">
        <v>274</v>
      </c>
      <c r="C6" s="2" t="s">
        <v>404</v>
      </c>
      <c r="D6" s="2" t="s">
        <v>405</v>
      </c>
      <c r="E6" s="2" t="s">
        <v>406</v>
      </c>
      <c r="F6" s="2" t="s">
        <v>275</v>
      </c>
      <c r="G6" s="2" t="s">
        <v>276</v>
      </c>
      <c r="H6" s="2" t="n">
        <v>40</v>
      </c>
      <c r="I6" s="2" t="n">
        <v>500</v>
      </c>
      <c r="J6" s="2" t="n">
        <v>11</v>
      </c>
      <c r="K6" s="2" t="n">
        <v>30</v>
      </c>
      <c r="L6" s="2" t="n">
        <v>19</v>
      </c>
      <c r="M6" s="2" t="n">
        <v>0.633</v>
      </c>
      <c r="N6" s="2" t="n">
        <v>30</v>
      </c>
      <c r="O6" s="2" t="s">
        <v>402</v>
      </c>
      <c r="P6" s="2" t="n">
        <v>0</v>
      </c>
      <c r="Q6" s="2" t="n">
        <v>0</v>
      </c>
      <c r="R6" s="2" t="n">
        <v>0</v>
      </c>
      <c r="S6" s="2"/>
      <c r="T6" s="2"/>
      <c r="U6" s="2" t="s">
        <v>403</v>
      </c>
    </row>
    <row r="7" customFormat="false" ht="15" hidden="false" customHeight="false" outlineLevel="0" collapsed="false">
      <c r="A7" s="2" t="s">
        <v>287</v>
      </c>
      <c r="B7" s="2" t="s">
        <v>288</v>
      </c>
      <c r="C7" s="2" t="s">
        <v>408</v>
      </c>
      <c r="D7" s="2" t="s">
        <v>409</v>
      </c>
      <c r="E7" s="2" t="s">
        <v>399</v>
      </c>
      <c r="F7" s="2" t="s">
        <v>254</v>
      </c>
      <c r="G7" s="2" t="s">
        <v>255</v>
      </c>
      <c r="H7" s="2" t="n">
        <v>60</v>
      </c>
      <c r="I7" s="2" t="n">
        <v>300</v>
      </c>
      <c r="J7" s="2" t="n">
        <v>22</v>
      </c>
      <c r="K7" s="2" t="n">
        <v>58</v>
      </c>
      <c r="L7" s="2" t="n">
        <v>36</v>
      </c>
      <c r="M7" s="2" t="n">
        <v>0.621</v>
      </c>
      <c r="N7" s="2" t="n">
        <v>20</v>
      </c>
      <c r="O7" s="2" t="s">
        <v>400</v>
      </c>
      <c r="P7" s="2" t="n">
        <v>1200</v>
      </c>
      <c r="Q7" s="2" t="n">
        <v>26400</v>
      </c>
      <c r="R7" s="2" t="n">
        <v>69600</v>
      </c>
      <c r="S7" s="11" t="n">
        <v>46247</v>
      </c>
      <c r="T7" s="2" t="n">
        <v>30</v>
      </c>
      <c r="U7" s="2"/>
    </row>
    <row r="8" customFormat="false" ht="15" hidden="false" customHeight="false" outlineLevel="0" collapsed="false">
      <c r="A8" s="2" t="s">
        <v>252</v>
      </c>
      <c r="B8" s="2" t="s">
        <v>253</v>
      </c>
      <c r="C8" s="2" t="s">
        <v>408</v>
      </c>
      <c r="D8" s="2" t="s">
        <v>410</v>
      </c>
      <c r="E8" s="2" t="s">
        <v>411</v>
      </c>
      <c r="F8" s="2" t="s">
        <v>254</v>
      </c>
      <c r="G8" s="2" t="s">
        <v>255</v>
      </c>
      <c r="H8" s="2" t="n">
        <v>60</v>
      </c>
      <c r="I8" s="2" t="n">
        <v>300</v>
      </c>
      <c r="J8" s="2" t="n">
        <v>26</v>
      </c>
      <c r="K8" s="2" t="n">
        <v>68</v>
      </c>
      <c r="L8" s="2" t="n">
        <v>42</v>
      </c>
      <c r="M8" s="2" t="n">
        <v>0.618</v>
      </c>
      <c r="N8" s="2" t="n">
        <v>20</v>
      </c>
      <c r="O8" s="2" t="s">
        <v>402</v>
      </c>
      <c r="P8" s="2" t="n">
        <v>0</v>
      </c>
      <c r="Q8" s="2" t="n">
        <v>0</v>
      </c>
      <c r="R8" s="2" t="n">
        <v>0</v>
      </c>
      <c r="S8" s="2"/>
      <c r="T8" s="2"/>
      <c r="U8" s="2" t="s">
        <v>403</v>
      </c>
    </row>
    <row r="9" customFormat="false" ht="15" hidden="false" customHeight="false" outlineLevel="0" collapsed="false">
      <c r="A9" s="2" t="s">
        <v>265</v>
      </c>
      <c r="B9" s="2" t="s">
        <v>266</v>
      </c>
      <c r="C9" s="2" t="s">
        <v>408</v>
      </c>
      <c r="D9" s="2" t="s">
        <v>412</v>
      </c>
      <c r="E9" s="2" t="s">
        <v>411</v>
      </c>
      <c r="F9" s="2" t="s">
        <v>267</v>
      </c>
      <c r="G9" s="2" t="s">
        <v>255</v>
      </c>
      <c r="H9" s="2" t="n">
        <v>65</v>
      </c>
      <c r="I9" s="2" t="n">
        <v>250</v>
      </c>
      <c r="J9" s="2" t="n">
        <v>30</v>
      </c>
      <c r="K9" s="2" t="n">
        <v>78</v>
      </c>
      <c r="L9" s="2" t="n">
        <v>48</v>
      </c>
      <c r="M9" s="2" t="n">
        <v>0.615</v>
      </c>
      <c r="N9" s="2" t="n">
        <v>16</v>
      </c>
      <c r="O9" s="2" t="s">
        <v>400</v>
      </c>
      <c r="P9" s="2" t="n">
        <v>950</v>
      </c>
      <c r="Q9" s="2" t="n">
        <v>28500</v>
      </c>
      <c r="R9" s="2" t="n">
        <v>74100</v>
      </c>
      <c r="S9" s="11" t="n">
        <v>46242</v>
      </c>
      <c r="T9" s="2" t="n">
        <v>25</v>
      </c>
      <c r="U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4"/>
    <col collapsed="false" customWidth="true" hidden="false" outlineLevel="0" max="5" min="4" style="0" width="15"/>
    <col collapsed="false" customWidth="true" hidden="false" outlineLevel="0" max="6" min="6" style="0" width="13"/>
    <col collapsed="false" customWidth="true" hidden="false" outlineLevel="0" max="7" min="7" style="0" width="18"/>
    <col collapsed="false" customWidth="true" hidden="false" outlineLevel="0" max="8" min="8" style="0" width="14"/>
    <col collapsed="false" customWidth="true" hidden="false" outlineLevel="0" max="9" min="9" style="0" width="16"/>
    <col collapsed="false" customWidth="true" hidden="false" outlineLevel="0" max="10" min="10" style="0" width="11"/>
    <col collapsed="false" customWidth="true" hidden="false" outlineLevel="0" max="11" min="11" style="0" width="19"/>
    <col collapsed="false" customWidth="true" hidden="false" outlineLevel="0" max="12" min="12" style="0" width="20"/>
  </cols>
  <sheetData>
    <row r="1" customFormat="false" ht="15" hidden="false" customHeight="false" outlineLevel="0" collapsed="false">
      <c r="A1" s="10" t="s">
        <v>60</v>
      </c>
      <c r="B1" s="10" t="s">
        <v>413</v>
      </c>
      <c r="C1" s="10" t="s">
        <v>414</v>
      </c>
      <c r="D1" s="10" t="s">
        <v>415</v>
      </c>
      <c r="E1" s="10" t="s">
        <v>416</v>
      </c>
      <c r="F1" s="10" t="s">
        <v>417</v>
      </c>
      <c r="G1" s="10" t="s">
        <v>418</v>
      </c>
      <c r="H1" s="10" t="s">
        <v>419</v>
      </c>
      <c r="I1" s="10" t="s">
        <v>420</v>
      </c>
      <c r="J1" s="10" t="s">
        <v>99</v>
      </c>
      <c r="K1" s="10" t="s">
        <v>102</v>
      </c>
      <c r="L1" s="10" t="s">
        <v>421</v>
      </c>
    </row>
    <row r="2" customFormat="false" ht="15" hidden="false" customHeight="false" outlineLevel="0" collapsed="false">
      <c r="A2" s="11" t="n">
        <v>46083</v>
      </c>
      <c r="B2" s="2" t="s">
        <v>285</v>
      </c>
      <c r="C2" s="2" t="s">
        <v>422</v>
      </c>
      <c r="D2" s="2" t="n">
        <v>362</v>
      </c>
      <c r="E2" s="2" t="n">
        <v>74</v>
      </c>
      <c r="F2" s="2" t="n">
        <v>115</v>
      </c>
      <c r="G2" s="2" t="n">
        <v>6764.33</v>
      </c>
      <c r="H2" s="2" t="n">
        <v>275.48</v>
      </c>
      <c r="I2" s="2" t="n">
        <v>6488.85</v>
      </c>
      <c r="J2" s="2" t="n">
        <v>2540.89</v>
      </c>
      <c r="K2" s="2" t="n">
        <v>3947.96</v>
      </c>
      <c r="L2" s="2" t="n">
        <v>87.69</v>
      </c>
    </row>
    <row r="3" customFormat="false" ht="15" hidden="false" customHeight="false" outlineLevel="0" collapsed="false">
      <c r="A3" s="11" t="n">
        <v>46084</v>
      </c>
      <c r="B3" s="2" t="s">
        <v>285</v>
      </c>
      <c r="C3" s="2" t="s">
        <v>423</v>
      </c>
      <c r="D3" s="2" t="n">
        <v>385</v>
      </c>
      <c r="E3" s="2" t="n">
        <v>72</v>
      </c>
      <c r="F3" s="2" t="n">
        <v>87</v>
      </c>
      <c r="G3" s="2" t="n">
        <v>7141.2</v>
      </c>
      <c r="H3" s="2" t="n">
        <v>314.08</v>
      </c>
      <c r="I3" s="2" t="n">
        <v>6827.12</v>
      </c>
      <c r="J3" s="2" t="n">
        <v>2695.9</v>
      </c>
      <c r="K3" s="2" t="n">
        <v>4131.22</v>
      </c>
      <c r="L3" s="2" t="n">
        <v>94.82</v>
      </c>
    </row>
    <row r="4" customFormat="false" ht="15" hidden="false" customHeight="false" outlineLevel="0" collapsed="false">
      <c r="A4" s="11" t="n">
        <v>46085</v>
      </c>
      <c r="B4" s="2" t="s">
        <v>285</v>
      </c>
      <c r="C4" s="2" t="s">
        <v>424</v>
      </c>
      <c r="D4" s="2" t="n">
        <v>403</v>
      </c>
      <c r="E4" s="2" t="n">
        <v>86</v>
      </c>
      <c r="F4" s="2" t="n">
        <v>131</v>
      </c>
      <c r="G4" s="2" t="n">
        <v>6367.06</v>
      </c>
      <c r="H4" s="2" t="n">
        <v>395.03</v>
      </c>
      <c r="I4" s="2" t="n">
        <v>5972.03</v>
      </c>
      <c r="J4" s="2" t="n">
        <v>2298.73</v>
      </c>
      <c r="K4" s="2" t="n">
        <v>3673.3</v>
      </c>
      <c r="L4" s="2" t="n">
        <v>69.44</v>
      </c>
    </row>
    <row r="5" customFormat="false" ht="15" hidden="false" customHeight="false" outlineLevel="0" collapsed="false">
      <c r="A5" s="11" t="n">
        <v>46086</v>
      </c>
      <c r="B5" s="2" t="s">
        <v>285</v>
      </c>
      <c r="C5" s="2" t="s">
        <v>425</v>
      </c>
      <c r="D5" s="2" t="n">
        <v>431</v>
      </c>
      <c r="E5" s="2" t="n">
        <v>90</v>
      </c>
      <c r="F5" s="2" t="n">
        <v>137</v>
      </c>
      <c r="G5" s="2" t="n">
        <v>7548.79</v>
      </c>
      <c r="H5" s="2" t="n">
        <v>449.85</v>
      </c>
      <c r="I5" s="2" t="n">
        <v>7098.94</v>
      </c>
      <c r="J5" s="2" t="n">
        <v>2793.69</v>
      </c>
      <c r="K5" s="2" t="n">
        <v>4305.25</v>
      </c>
      <c r="L5" s="2" t="n">
        <v>78.88</v>
      </c>
    </row>
    <row r="6" customFormat="false" ht="15" hidden="false" customHeight="false" outlineLevel="0" collapsed="false">
      <c r="A6" s="11" t="n">
        <v>46087</v>
      </c>
      <c r="B6" s="2" t="s">
        <v>285</v>
      </c>
      <c r="C6" s="2" t="s">
        <v>426</v>
      </c>
      <c r="D6" s="2" t="n">
        <v>464</v>
      </c>
      <c r="E6" s="2" t="n">
        <v>99</v>
      </c>
      <c r="F6" s="2" t="n">
        <v>174</v>
      </c>
      <c r="G6" s="2" t="n">
        <v>9481.01</v>
      </c>
      <c r="H6" s="2" t="n">
        <v>550.4</v>
      </c>
      <c r="I6" s="2" t="n">
        <v>8930.61</v>
      </c>
      <c r="J6" s="2" t="n">
        <v>3435.95</v>
      </c>
      <c r="K6" s="2" t="n">
        <v>5494.66</v>
      </c>
      <c r="L6" s="2" t="n">
        <v>90.21</v>
      </c>
    </row>
    <row r="7" customFormat="false" ht="15" hidden="false" customHeight="false" outlineLevel="0" collapsed="false">
      <c r="A7" s="11" t="n">
        <v>46088</v>
      </c>
      <c r="B7" s="2" t="s">
        <v>285</v>
      </c>
      <c r="C7" s="2" t="s">
        <v>427</v>
      </c>
      <c r="D7" s="2" t="n">
        <v>687</v>
      </c>
      <c r="E7" s="2" t="n">
        <v>144</v>
      </c>
      <c r="F7" s="2" t="n">
        <v>211</v>
      </c>
      <c r="G7" s="2" t="n">
        <v>12312.62</v>
      </c>
      <c r="H7" s="2" t="n">
        <v>811.84</v>
      </c>
      <c r="I7" s="2" t="n">
        <v>11500.78</v>
      </c>
      <c r="J7" s="2" t="n">
        <v>4432.6</v>
      </c>
      <c r="K7" s="2" t="n">
        <v>7068.18</v>
      </c>
      <c r="L7" s="2" t="n">
        <v>79.87</v>
      </c>
    </row>
    <row r="8" customFormat="false" ht="15" hidden="false" customHeight="false" outlineLevel="0" collapsed="false">
      <c r="A8" s="11" t="n">
        <v>46089</v>
      </c>
      <c r="B8" s="2" t="s">
        <v>285</v>
      </c>
      <c r="C8" s="2" t="s">
        <v>428</v>
      </c>
      <c r="D8" s="2" t="n">
        <v>314</v>
      </c>
      <c r="E8" s="2" t="n">
        <v>87</v>
      </c>
      <c r="F8" s="2" t="n">
        <v>105</v>
      </c>
      <c r="G8" s="2" t="n">
        <v>8414.76</v>
      </c>
      <c r="H8" s="2" t="n">
        <v>188.94</v>
      </c>
      <c r="I8" s="2" t="n">
        <v>8225.82</v>
      </c>
      <c r="J8" s="2" t="n">
        <v>3230.85</v>
      </c>
      <c r="K8" s="2" t="n">
        <v>4994.97</v>
      </c>
      <c r="L8" s="2" t="n">
        <v>94.55</v>
      </c>
    </row>
    <row r="9" customFormat="false" ht="15" hidden="false" customHeight="false" outlineLevel="0" collapsed="false">
      <c r="A9" s="11" t="n">
        <v>46090</v>
      </c>
      <c r="B9" s="2" t="s">
        <v>285</v>
      </c>
      <c r="C9" s="2" t="s">
        <v>422</v>
      </c>
      <c r="D9" s="2" t="n">
        <v>294</v>
      </c>
      <c r="E9" s="2" t="n">
        <v>60</v>
      </c>
      <c r="F9" s="2" t="n">
        <v>76</v>
      </c>
      <c r="G9" s="2" t="n">
        <v>5774.19</v>
      </c>
      <c r="H9" s="2" t="n">
        <v>378.95</v>
      </c>
      <c r="I9" s="2" t="n">
        <v>5395.24</v>
      </c>
      <c r="J9" s="2" t="n">
        <v>2063.1</v>
      </c>
      <c r="K9" s="2" t="n">
        <v>3332.14</v>
      </c>
      <c r="L9" s="2" t="n">
        <v>89.92</v>
      </c>
    </row>
    <row r="10" customFormat="false" ht="15" hidden="false" customHeight="false" outlineLevel="0" collapsed="false">
      <c r="A10" s="11" t="n">
        <v>46091</v>
      </c>
      <c r="B10" s="2" t="s">
        <v>285</v>
      </c>
      <c r="C10" s="2" t="s">
        <v>423</v>
      </c>
      <c r="D10" s="2" t="n">
        <v>227</v>
      </c>
      <c r="E10" s="2" t="n">
        <v>57</v>
      </c>
      <c r="F10" s="2" t="n">
        <v>70</v>
      </c>
      <c r="G10" s="2" t="n">
        <v>6354.09</v>
      </c>
      <c r="H10" s="2" t="n">
        <v>157.61</v>
      </c>
      <c r="I10" s="2" t="n">
        <v>6196.48</v>
      </c>
      <c r="J10" s="2" t="n">
        <v>2421.09</v>
      </c>
      <c r="K10" s="2" t="n">
        <v>3775.39</v>
      </c>
      <c r="L10" s="2" t="n">
        <v>108.71</v>
      </c>
    </row>
    <row r="11" customFormat="false" ht="15" hidden="false" customHeight="false" outlineLevel="0" collapsed="false">
      <c r="A11" s="11" t="n">
        <v>46092</v>
      </c>
      <c r="B11" s="2" t="s">
        <v>285</v>
      </c>
      <c r="C11" s="2" t="s">
        <v>424</v>
      </c>
      <c r="D11" s="2" t="n">
        <v>293</v>
      </c>
      <c r="E11" s="2" t="n">
        <v>76</v>
      </c>
      <c r="F11" s="2" t="n">
        <v>109</v>
      </c>
      <c r="G11" s="2" t="n">
        <v>5998.99</v>
      </c>
      <c r="H11" s="2" t="n">
        <v>297.18</v>
      </c>
      <c r="I11" s="2" t="n">
        <v>5701.81</v>
      </c>
      <c r="J11" s="2" t="n">
        <v>2184.14</v>
      </c>
      <c r="K11" s="2" t="n">
        <v>3517.67</v>
      </c>
      <c r="L11" s="2" t="n">
        <v>75.02</v>
      </c>
    </row>
    <row r="12" customFormat="false" ht="15" hidden="false" customHeight="false" outlineLevel="0" collapsed="false">
      <c r="A12" s="11" t="n">
        <v>46093</v>
      </c>
      <c r="B12" s="2" t="s">
        <v>285</v>
      </c>
      <c r="C12" s="2" t="s">
        <v>425</v>
      </c>
      <c r="D12" s="2" t="n">
        <v>204</v>
      </c>
      <c r="E12" s="2" t="n">
        <v>61</v>
      </c>
      <c r="F12" s="2" t="n">
        <v>98</v>
      </c>
      <c r="G12" s="2" t="n">
        <v>7587.88</v>
      </c>
      <c r="H12" s="2" t="n">
        <v>165.75</v>
      </c>
      <c r="I12" s="2" t="n">
        <v>7422.13</v>
      </c>
      <c r="J12" s="2" t="n">
        <v>2927.56</v>
      </c>
      <c r="K12" s="2" t="n">
        <v>4494.57</v>
      </c>
      <c r="L12" s="2" t="n">
        <v>121.67</v>
      </c>
    </row>
    <row r="13" customFormat="false" ht="15" hidden="false" customHeight="false" outlineLevel="0" collapsed="false">
      <c r="A13" s="11" t="n">
        <v>46094</v>
      </c>
      <c r="B13" s="2" t="s">
        <v>285</v>
      </c>
      <c r="C13" s="2" t="s">
        <v>426</v>
      </c>
      <c r="D13" s="2" t="n">
        <v>372</v>
      </c>
      <c r="E13" s="2" t="n">
        <v>85</v>
      </c>
      <c r="F13" s="2" t="n">
        <v>149</v>
      </c>
      <c r="G13" s="2" t="n">
        <v>8028.81</v>
      </c>
      <c r="H13" s="2" t="n">
        <v>355.65</v>
      </c>
      <c r="I13" s="2" t="n">
        <v>7673.16</v>
      </c>
      <c r="J13" s="2" t="n">
        <v>2961.35</v>
      </c>
      <c r="K13" s="2" t="n">
        <v>4711.81</v>
      </c>
      <c r="L13" s="2" t="n">
        <v>90.27</v>
      </c>
    </row>
    <row r="14" customFormat="false" ht="15" hidden="false" customHeight="false" outlineLevel="0" collapsed="false">
      <c r="A14" s="11" t="n">
        <v>46095</v>
      </c>
      <c r="B14" s="2" t="s">
        <v>285</v>
      </c>
      <c r="C14" s="2" t="s">
        <v>427</v>
      </c>
      <c r="D14" s="2" t="n">
        <v>717</v>
      </c>
      <c r="E14" s="2" t="n">
        <v>140</v>
      </c>
      <c r="F14" s="2" t="n">
        <v>281</v>
      </c>
      <c r="G14" s="2" t="n">
        <v>10007.58</v>
      </c>
      <c r="H14" s="2" t="n">
        <v>363.82</v>
      </c>
      <c r="I14" s="2" t="n">
        <v>9643.76</v>
      </c>
      <c r="J14" s="2" t="n">
        <v>3769.26</v>
      </c>
      <c r="K14" s="2" t="n">
        <v>5874.5</v>
      </c>
      <c r="L14" s="2" t="n">
        <v>68.88</v>
      </c>
    </row>
    <row r="15" customFormat="false" ht="15" hidden="false" customHeight="false" outlineLevel="0" collapsed="false">
      <c r="A15" s="11" t="n">
        <v>46096</v>
      </c>
      <c r="B15" s="2" t="s">
        <v>285</v>
      </c>
      <c r="C15" s="2" t="s">
        <v>428</v>
      </c>
      <c r="D15" s="2" t="n">
        <v>360</v>
      </c>
      <c r="E15" s="2" t="n">
        <v>92</v>
      </c>
      <c r="F15" s="2" t="n">
        <v>163</v>
      </c>
      <c r="G15" s="2" t="n">
        <v>7213.46</v>
      </c>
      <c r="H15" s="2" t="n">
        <v>389.91</v>
      </c>
      <c r="I15" s="2" t="n">
        <v>6823.55</v>
      </c>
      <c r="J15" s="2" t="n">
        <v>2667.56</v>
      </c>
      <c r="K15" s="2" t="n">
        <v>4155.99</v>
      </c>
      <c r="L15" s="2" t="n">
        <v>74.17</v>
      </c>
    </row>
    <row r="16" customFormat="false" ht="15" hidden="false" customHeight="false" outlineLevel="0" collapsed="false">
      <c r="A16" s="11" t="n">
        <v>46097</v>
      </c>
      <c r="B16" s="2" t="s">
        <v>285</v>
      </c>
      <c r="C16" s="2" t="s">
        <v>422</v>
      </c>
      <c r="D16" s="2" t="n">
        <v>232</v>
      </c>
      <c r="E16" s="2" t="n">
        <v>48</v>
      </c>
      <c r="F16" s="2" t="n">
        <v>62</v>
      </c>
      <c r="G16" s="2" t="n">
        <v>5171.46</v>
      </c>
      <c r="H16" s="2" t="n">
        <v>284.35</v>
      </c>
      <c r="I16" s="2" t="n">
        <v>4887.11</v>
      </c>
      <c r="J16" s="2" t="n">
        <v>1878.59</v>
      </c>
      <c r="K16" s="2" t="n">
        <v>3008.52</v>
      </c>
      <c r="L16" s="2" t="n">
        <v>101.81</v>
      </c>
    </row>
    <row r="17" customFormat="false" ht="15" hidden="false" customHeight="false" outlineLevel="0" collapsed="false">
      <c r="A17" s="11" t="n">
        <v>46098</v>
      </c>
      <c r="B17" s="2" t="s">
        <v>285</v>
      </c>
      <c r="C17" s="2" t="s">
        <v>423</v>
      </c>
      <c r="D17" s="2" t="n">
        <v>360</v>
      </c>
      <c r="E17" s="2" t="n">
        <v>80</v>
      </c>
      <c r="F17" s="2" t="n">
        <v>130</v>
      </c>
      <c r="G17" s="2" t="n">
        <v>5639.82</v>
      </c>
      <c r="H17" s="2" t="n">
        <v>320.77</v>
      </c>
      <c r="I17" s="2" t="n">
        <v>5319.05</v>
      </c>
      <c r="J17" s="2" t="n">
        <v>2052.12</v>
      </c>
      <c r="K17" s="2" t="n">
        <v>3266.93</v>
      </c>
      <c r="L17" s="2" t="n">
        <v>66.49</v>
      </c>
    </row>
    <row r="18" customFormat="false" ht="15" hidden="false" customHeight="false" outlineLevel="0" collapsed="false">
      <c r="A18" s="11" t="n">
        <v>46099</v>
      </c>
      <c r="B18" s="2" t="s">
        <v>285</v>
      </c>
      <c r="C18" s="2" t="s">
        <v>424</v>
      </c>
      <c r="D18" s="2" t="n">
        <v>275</v>
      </c>
      <c r="E18" s="2" t="n">
        <v>53</v>
      </c>
      <c r="F18" s="2" t="n">
        <v>109</v>
      </c>
      <c r="G18" s="2" t="n">
        <v>6102.38</v>
      </c>
      <c r="H18" s="2" t="n">
        <v>185.71</v>
      </c>
      <c r="I18" s="2" t="n">
        <v>5916.67</v>
      </c>
      <c r="J18" s="2" t="n">
        <v>2242.53</v>
      </c>
      <c r="K18" s="2" t="n">
        <v>3674.14</v>
      </c>
      <c r="L18" s="2" t="n">
        <v>111.64</v>
      </c>
    </row>
    <row r="19" customFormat="false" ht="15" hidden="false" customHeight="false" outlineLevel="0" collapsed="false">
      <c r="A19" s="11" t="n">
        <v>46100</v>
      </c>
      <c r="B19" s="2" t="s">
        <v>285</v>
      </c>
      <c r="C19" s="2" t="s">
        <v>425</v>
      </c>
      <c r="D19" s="2" t="n">
        <v>320</v>
      </c>
      <c r="E19" s="2" t="n">
        <v>69</v>
      </c>
      <c r="F19" s="2" t="n">
        <v>116</v>
      </c>
      <c r="G19" s="2" t="n">
        <v>5881.17</v>
      </c>
      <c r="H19" s="2" t="n">
        <v>278.29</v>
      </c>
      <c r="I19" s="2" t="n">
        <v>5602.88</v>
      </c>
      <c r="J19" s="2" t="n">
        <v>2192.65</v>
      </c>
      <c r="K19" s="2" t="n">
        <v>3410.23</v>
      </c>
      <c r="L19" s="2" t="n">
        <v>81.2</v>
      </c>
    </row>
    <row r="20" customFormat="false" ht="15" hidden="false" customHeight="false" outlineLevel="0" collapsed="false">
      <c r="A20" s="11" t="n">
        <v>46101</v>
      </c>
      <c r="B20" s="2" t="s">
        <v>285</v>
      </c>
      <c r="C20" s="2" t="s">
        <v>426</v>
      </c>
      <c r="D20" s="2" t="n">
        <v>389</v>
      </c>
      <c r="E20" s="2" t="n">
        <v>87</v>
      </c>
      <c r="F20" s="2" t="n">
        <v>177</v>
      </c>
      <c r="G20" s="2" t="n">
        <v>7776.87</v>
      </c>
      <c r="H20" s="2" t="n">
        <v>437.27</v>
      </c>
      <c r="I20" s="2" t="n">
        <v>7339.6</v>
      </c>
      <c r="J20" s="2" t="n">
        <v>2864.9</v>
      </c>
      <c r="K20" s="2" t="n">
        <v>4474.7</v>
      </c>
      <c r="L20" s="2" t="n">
        <v>84.36</v>
      </c>
    </row>
    <row r="21" customFormat="false" ht="15" hidden="false" customHeight="false" outlineLevel="0" collapsed="false">
      <c r="A21" s="11" t="n">
        <v>46102</v>
      </c>
      <c r="B21" s="2" t="s">
        <v>285</v>
      </c>
      <c r="C21" s="2" t="s">
        <v>427</v>
      </c>
      <c r="D21" s="2" t="n">
        <v>423</v>
      </c>
      <c r="E21" s="2" t="n">
        <v>108</v>
      </c>
      <c r="F21" s="2" t="n">
        <v>194</v>
      </c>
      <c r="G21" s="2" t="n">
        <v>9330.19</v>
      </c>
      <c r="H21" s="2" t="n">
        <v>223.4</v>
      </c>
      <c r="I21" s="2" t="n">
        <v>9106.79</v>
      </c>
      <c r="J21" s="2" t="n">
        <v>3565.35</v>
      </c>
      <c r="K21" s="2" t="n">
        <v>5541.44</v>
      </c>
      <c r="L21" s="2" t="n">
        <v>84.32</v>
      </c>
    </row>
    <row r="22" customFormat="false" ht="15" hidden="false" customHeight="false" outlineLevel="0" collapsed="false">
      <c r="A22" s="11" t="n">
        <v>46103</v>
      </c>
      <c r="B22" s="2" t="s">
        <v>285</v>
      </c>
      <c r="C22" s="2" t="s">
        <v>428</v>
      </c>
      <c r="D22" s="2" t="n">
        <v>286</v>
      </c>
      <c r="E22" s="2" t="n">
        <v>70</v>
      </c>
      <c r="F22" s="2" t="n">
        <v>98</v>
      </c>
      <c r="G22" s="2" t="n">
        <v>6502.47</v>
      </c>
      <c r="H22" s="2" t="n">
        <v>208.47</v>
      </c>
      <c r="I22" s="2" t="n">
        <v>6294</v>
      </c>
      <c r="J22" s="2" t="n">
        <v>2422.35</v>
      </c>
      <c r="K22" s="2" t="n">
        <v>3871.65</v>
      </c>
      <c r="L22" s="2" t="n">
        <v>89.91</v>
      </c>
    </row>
    <row r="23" customFormat="false" ht="15" hidden="false" customHeight="false" outlineLevel="0" collapsed="false">
      <c r="A23" s="11" t="n">
        <v>46104</v>
      </c>
      <c r="B23" s="2" t="s">
        <v>285</v>
      </c>
      <c r="C23" s="2" t="s">
        <v>422</v>
      </c>
      <c r="D23" s="2" t="n">
        <v>220</v>
      </c>
      <c r="E23" s="2" t="n">
        <v>40</v>
      </c>
      <c r="F23" s="2" t="n">
        <v>80</v>
      </c>
      <c r="G23" s="2" t="n">
        <v>5296.62</v>
      </c>
      <c r="H23" s="2" t="n">
        <v>363.93</v>
      </c>
      <c r="I23" s="2" t="n">
        <v>4932.69</v>
      </c>
      <c r="J23" s="2" t="n">
        <v>1944.4</v>
      </c>
      <c r="K23" s="2" t="n">
        <v>2988.29</v>
      </c>
      <c r="L23" s="2" t="n">
        <v>123.32</v>
      </c>
    </row>
    <row r="24" customFormat="false" ht="15" hidden="false" customHeight="false" outlineLevel="0" collapsed="false">
      <c r="A24" s="11" t="n">
        <v>46105</v>
      </c>
      <c r="B24" s="2" t="s">
        <v>285</v>
      </c>
      <c r="C24" s="2" t="s">
        <v>423</v>
      </c>
      <c r="D24" s="2" t="n">
        <v>365</v>
      </c>
      <c r="E24" s="2" t="n">
        <v>68</v>
      </c>
      <c r="F24" s="2" t="n">
        <v>115</v>
      </c>
      <c r="G24" s="2" t="n">
        <v>4993.63</v>
      </c>
      <c r="H24" s="2" t="n">
        <v>201.56</v>
      </c>
      <c r="I24" s="2" t="n">
        <v>4792.07</v>
      </c>
      <c r="J24" s="2" t="n">
        <v>1831.22</v>
      </c>
      <c r="K24" s="2" t="n">
        <v>2960.85</v>
      </c>
      <c r="L24" s="2" t="n">
        <v>70.47</v>
      </c>
    </row>
    <row r="25" customFormat="false" ht="15" hidden="false" customHeight="false" outlineLevel="0" collapsed="false">
      <c r="A25" s="11" t="n">
        <v>46106</v>
      </c>
      <c r="B25" s="2" t="s">
        <v>285</v>
      </c>
      <c r="C25" s="2" t="s">
        <v>424</v>
      </c>
      <c r="D25" s="2" t="n">
        <v>214</v>
      </c>
      <c r="E25" s="2" t="n">
        <v>46</v>
      </c>
      <c r="F25" s="2" t="n">
        <v>59</v>
      </c>
      <c r="G25" s="2" t="n">
        <v>5057.33</v>
      </c>
      <c r="H25" s="2" t="n">
        <v>112.72</v>
      </c>
      <c r="I25" s="2" t="n">
        <v>4944.61</v>
      </c>
      <c r="J25" s="2" t="n">
        <v>1869.77</v>
      </c>
      <c r="K25" s="2" t="n">
        <v>3074.84</v>
      </c>
      <c r="L25" s="2" t="n">
        <v>107.49</v>
      </c>
    </row>
    <row r="26" customFormat="false" ht="15" hidden="false" customHeight="false" outlineLevel="0" collapsed="false">
      <c r="A26" s="11" t="n">
        <v>46107</v>
      </c>
      <c r="B26" s="2" t="s">
        <v>285</v>
      </c>
      <c r="C26" s="2" t="s">
        <v>425</v>
      </c>
      <c r="D26" s="2" t="n">
        <v>278</v>
      </c>
      <c r="E26" s="2" t="n">
        <v>57</v>
      </c>
      <c r="F26" s="2" t="n">
        <v>86</v>
      </c>
      <c r="G26" s="2" t="n">
        <v>5813.1</v>
      </c>
      <c r="H26" s="2" t="n">
        <v>290.06</v>
      </c>
      <c r="I26" s="2" t="n">
        <v>5523.04</v>
      </c>
      <c r="J26" s="2" t="n">
        <v>2088.66</v>
      </c>
      <c r="K26" s="2" t="n">
        <v>3434.38</v>
      </c>
      <c r="L26" s="2" t="n">
        <v>96.9</v>
      </c>
    </row>
    <row r="27" customFormat="false" ht="15" hidden="false" customHeight="false" outlineLevel="0" collapsed="false">
      <c r="A27" s="11" t="n">
        <v>46108</v>
      </c>
      <c r="B27" s="2" t="s">
        <v>285</v>
      </c>
      <c r="C27" s="2" t="s">
        <v>426</v>
      </c>
      <c r="D27" s="2" t="n">
        <v>325</v>
      </c>
      <c r="E27" s="2" t="n">
        <v>89</v>
      </c>
      <c r="F27" s="2" t="n">
        <v>138</v>
      </c>
      <c r="G27" s="2" t="n">
        <v>7311.71</v>
      </c>
      <c r="H27" s="2" t="n">
        <v>161.82</v>
      </c>
      <c r="I27" s="2" t="n">
        <v>7149.89</v>
      </c>
      <c r="J27" s="2" t="n">
        <v>2775.4</v>
      </c>
      <c r="K27" s="2" t="n">
        <v>4374.49</v>
      </c>
      <c r="L27" s="2" t="n">
        <v>80.34</v>
      </c>
    </row>
    <row r="28" customFormat="false" ht="15" hidden="false" customHeight="false" outlineLevel="0" collapsed="false">
      <c r="A28" s="11" t="n">
        <v>46109</v>
      </c>
      <c r="B28" s="2" t="s">
        <v>285</v>
      </c>
      <c r="C28" s="2" t="s">
        <v>427</v>
      </c>
      <c r="D28" s="2" t="n">
        <v>468</v>
      </c>
      <c r="E28" s="2" t="n">
        <v>103</v>
      </c>
      <c r="F28" s="2" t="n">
        <v>188</v>
      </c>
      <c r="G28" s="2" t="n">
        <v>9231.16</v>
      </c>
      <c r="H28" s="2" t="n">
        <v>192.69</v>
      </c>
      <c r="I28" s="2" t="n">
        <v>9038.47</v>
      </c>
      <c r="J28" s="2" t="n">
        <v>3407.99</v>
      </c>
      <c r="K28" s="2" t="n">
        <v>5630.48</v>
      </c>
      <c r="L28" s="2" t="n">
        <v>87.75</v>
      </c>
    </row>
    <row r="29" customFormat="false" ht="15" hidden="false" customHeight="false" outlineLevel="0" collapsed="false">
      <c r="A29" s="11" t="n">
        <v>46110</v>
      </c>
      <c r="B29" s="2" t="s">
        <v>285</v>
      </c>
      <c r="C29" s="2" t="s">
        <v>428</v>
      </c>
      <c r="D29" s="2" t="n">
        <v>269</v>
      </c>
      <c r="E29" s="2" t="n">
        <v>61</v>
      </c>
      <c r="F29" s="2" t="n">
        <v>90</v>
      </c>
      <c r="G29" s="2" t="n">
        <v>6176.63</v>
      </c>
      <c r="H29" s="2" t="n">
        <v>304.79</v>
      </c>
      <c r="I29" s="2" t="n">
        <v>5871.84</v>
      </c>
      <c r="J29" s="2" t="n">
        <v>2315.74</v>
      </c>
      <c r="K29" s="2" t="n">
        <v>3556.1</v>
      </c>
      <c r="L29" s="2" t="n">
        <v>96.26</v>
      </c>
    </row>
    <row r="30" customFormat="false" ht="15" hidden="false" customHeight="false" outlineLevel="0" collapsed="false">
      <c r="A30" s="11" t="n">
        <v>46111</v>
      </c>
      <c r="B30" s="2" t="s">
        <v>285</v>
      </c>
      <c r="C30" s="2" t="s">
        <v>422</v>
      </c>
      <c r="D30" s="2" t="n">
        <v>196</v>
      </c>
      <c r="E30" s="2" t="n">
        <v>41</v>
      </c>
      <c r="F30" s="2" t="n">
        <v>70</v>
      </c>
      <c r="G30" s="2" t="n">
        <v>4973.88</v>
      </c>
      <c r="H30" s="2" t="n">
        <v>305.29</v>
      </c>
      <c r="I30" s="2" t="n">
        <v>4668.59</v>
      </c>
      <c r="J30" s="2" t="n">
        <v>1799.82</v>
      </c>
      <c r="K30" s="2" t="n">
        <v>2868.77</v>
      </c>
      <c r="L30" s="2" t="n">
        <v>113.87</v>
      </c>
    </row>
    <row r="31" customFormat="false" ht="15" hidden="false" customHeight="false" outlineLevel="0" collapsed="false">
      <c r="A31" s="11" t="n">
        <v>46112</v>
      </c>
      <c r="B31" s="2" t="s">
        <v>285</v>
      </c>
      <c r="C31" s="2" t="s">
        <v>423</v>
      </c>
      <c r="D31" s="2" t="n">
        <v>220</v>
      </c>
      <c r="E31" s="2" t="n">
        <v>55</v>
      </c>
      <c r="F31" s="2" t="n">
        <v>74</v>
      </c>
      <c r="G31" s="2" t="n">
        <v>5077.15</v>
      </c>
      <c r="H31" s="2" t="n">
        <v>251.37</v>
      </c>
      <c r="I31" s="2" t="n">
        <v>4825.78</v>
      </c>
      <c r="J31" s="2" t="n">
        <v>1851.7</v>
      </c>
      <c r="K31" s="2" t="n">
        <v>2974.08</v>
      </c>
      <c r="L31" s="2" t="n">
        <v>87.74</v>
      </c>
    </row>
    <row r="32" customFormat="false" ht="15" hidden="false" customHeight="false" outlineLevel="0" collapsed="false">
      <c r="A32" s="11" t="n">
        <v>46113</v>
      </c>
      <c r="B32" s="2" t="s">
        <v>285</v>
      </c>
      <c r="C32" s="2" t="s">
        <v>424</v>
      </c>
      <c r="D32" s="2" t="n">
        <v>203</v>
      </c>
      <c r="E32" s="2" t="n">
        <v>55</v>
      </c>
      <c r="F32" s="2" t="n">
        <v>95</v>
      </c>
      <c r="G32" s="2" t="n">
        <v>4732.43</v>
      </c>
      <c r="H32" s="2" t="n">
        <v>110.96</v>
      </c>
      <c r="I32" s="2" t="n">
        <v>4621.47</v>
      </c>
      <c r="J32" s="2" t="n">
        <v>1811.94</v>
      </c>
      <c r="K32" s="2" t="n">
        <v>2809.53</v>
      </c>
      <c r="L32" s="2" t="n">
        <v>84.03</v>
      </c>
    </row>
    <row r="33" customFormat="false" ht="15" hidden="false" customHeight="false" outlineLevel="0" collapsed="false">
      <c r="A33" s="11" t="n">
        <v>46114</v>
      </c>
      <c r="B33" s="2" t="s">
        <v>285</v>
      </c>
      <c r="C33" s="2" t="s">
        <v>425</v>
      </c>
      <c r="D33" s="2" t="n">
        <v>289</v>
      </c>
      <c r="E33" s="2" t="n">
        <v>63</v>
      </c>
      <c r="F33" s="2" t="n">
        <v>93</v>
      </c>
      <c r="G33" s="2" t="n">
        <v>5722.14</v>
      </c>
      <c r="H33" s="2" t="n">
        <v>270.19</v>
      </c>
      <c r="I33" s="2" t="n">
        <v>5451.95</v>
      </c>
      <c r="J33" s="2" t="n">
        <v>2117.65</v>
      </c>
      <c r="K33" s="2" t="n">
        <v>3334.3</v>
      </c>
      <c r="L33" s="2" t="n">
        <v>86.54</v>
      </c>
    </row>
    <row r="34" customFormat="false" ht="15" hidden="false" customHeight="false" outlineLevel="0" collapsed="false">
      <c r="A34" s="11" t="n">
        <v>46115</v>
      </c>
      <c r="B34" s="2" t="s">
        <v>285</v>
      </c>
      <c r="C34" s="2" t="s">
        <v>426</v>
      </c>
      <c r="D34" s="2" t="n">
        <v>287</v>
      </c>
      <c r="E34" s="2" t="n">
        <v>82</v>
      </c>
      <c r="F34" s="2" t="n">
        <v>123</v>
      </c>
      <c r="G34" s="2" t="n">
        <v>6515.19</v>
      </c>
      <c r="H34" s="2" t="n">
        <v>164.04</v>
      </c>
      <c r="I34" s="2" t="n">
        <v>6351.15</v>
      </c>
      <c r="J34" s="2" t="n">
        <v>2496.73</v>
      </c>
      <c r="K34" s="2" t="n">
        <v>3854.42</v>
      </c>
      <c r="L34" s="2" t="n">
        <v>77.45</v>
      </c>
    </row>
    <row r="35" customFormat="false" ht="15" hidden="false" customHeight="false" outlineLevel="0" collapsed="false">
      <c r="A35" s="11" t="n">
        <v>46116</v>
      </c>
      <c r="B35" s="2" t="s">
        <v>285</v>
      </c>
      <c r="C35" s="2" t="s">
        <v>427</v>
      </c>
      <c r="D35" s="2" t="n">
        <v>416</v>
      </c>
      <c r="E35" s="2" t="n">
        <v>90</v>
      </c>
      <c r="F35" s="2" t="n">
        <v>187</v>
      </c>
      <c r="G35" s="2" t="n">
        <v>8008.76</v>
      </c>
      <c r="H35" s="2" t="n">
        <v>161.39</v>
      </c>
      <c r="I35" s="2" t="n">
        <v>7847.37</v>
      </c>
      <c r="J35" s="2" t="n">
        <v>3083.74</v>
      </c>
      <c r="K35" s="2" t="n">
        <v>4763.63</v>
      </c>
      <c r="L35" s="2" t="n">
        <v>87.19</v>
      </c>
    </row>
    <row r="36" customFormat="false" ht="15" hidden="false" customHeight="false" outlineLevel="0" collapsed="false">
      <c r="A36" s="11" t="n">
        <v>46117</v>
      </c>
      <c r="B36" s="2" t="s">
        <v>285</v>
      </c>
      <c r="C36" s="2" t="s">
        <v>428</v>
      </c>
      <c r="D36" s="2" t="n">
        <v>241</v>
      </c>
      <c r="E36" s="2" t="n">
        <v>71</v>
      </c>
      <c r="F36" s="2" t="n">
        <v>111</v>
      </c>
      <c r="G36" s="2" t="n">
        <v>6712.25</v>
      </c>
      <c r="H36" s="2" t="n">
        <v>411.98</v>
      </c>
      <c r="I36" s="2" t="n">
        <v>6300.27</v>
      </c>
      <c r="J36" s="2" t="n">
        <v>2417</v>
      </c>
      <c r="K36" s="2" t="n">
        <v>3883.27</v>
      </c>
      <c r="L36" s="2" t="n">
        <v>88.74</v>
      </c>
    </row>
    <row r="37" customFormat="false" ht="15" hidden="false" customHeight="false" outlineLevel="0" collapsed="false">
      <c r="A37" s="11" t="n">
        <v>46118</v>
      </c>
      <c r="B37" s="2" t="s">
        <v>285</v>
      </c>
      <c r="C37" s="2" t="s">
        <v>422</v>
      </c>
      <c r="D37" s="2" t="n">
        <v>261</v>
      </c>
      <c r="E37" s="2" t="n">
        <v>58</v>
      </c>
      <c r="F37" s="2" t="n">
        <v>86</v>
      </c>
      <c r="G37" s="2" t="n">
        <v>4497.19</v>
      </c>
      <c r="H37" s="2" t="n">
        <v>308.35</v>
      </c>
      <c r="I37" s="2" t="n">
        <v>4188.84</v>
      </c>
      <c r="J37" s="2" t="n">
        <v>1626.66</v>
      </c>
      <c r="K37" s="2" t="n">
        <v>2562.18</v>
      </c>
      <c r="L37" s="2" t="n">
        <v>72.22</v>
      </c>
    </row>
    <row r="38" customFormat="false" ht="15" hidden="false" customHeight="false" outlineLevel="0" collapsed="false">
      <c r="A38" s="11" t="n">
        <v>46119</v>
      </c>
      <c r="B38" s="2" t="s">
        <v>285</v>
      </c>
      <c r="C38" s="2" t="s">
        <v>423</v>
      </c>
      <c r="D38" s="2" t="n">
        <v>147</v>
      </c>
      <c r="E38" s="2" t="n">
        <v>42</v>
      </c>
      <c r="F38" s="2" t="n">
        <v>52</v>
      </c>
      <c r="G38" s="2" t="n">
        <v>4032.93</v>
      </c>
      <c r="H38" s="2" t="n">
        <v>107.84</v>
      </c>
      <c r="I38" s="2" t="n">
        <v>3925.09</v>
      </c>
      <c r="J38" s="2" t="n">
        <v>1497.93</v>
      </c>
      <c r="K38" s="2" t="n">
        <v>2427.16</v>
      </c>
      <c r="L38" s="2" t="n">
        <v>93.45</v>
      </c>
    </row>
    <row r="39" customFormat="false" ht="15" hidden="false" customHeight="false" outlineLevel="0" collapsed="false">
      <c r="A39" s="11" t="n">
        <v>46120</v>
      </c>
      <c r="B39" s="2" t="s">
        <v>285</v>
      </c>
      <c r="C39" s="2" t="s">
        <v>424</v>
      </c>
      <c r="D39" s="2" t="n">
        <v>259</v>
      </c>
      <c r="E39" s="2" t="n">
        <v>54</v>
      </c>
      <c r="F39" s="2" t="n">
        <v>98</v>
      </c>
      <c r="G39" s="2" t="n">
        <v>4480.8</v>
      </c>
      <c r="H39" s="2" t="n">
        <v>191.2</v>
      </c>
      <c r="I39" s="2" t="n">
        <v>4289.6</v>
      </c>
      <c r="J39" s="2" t="n">
        <v>1663.31</v>
      </c>
      <c r="K39" s="2" t="n">
        <v>2626.29</v>
      </c>
      <c r="L39" s="2" t="n">
        <v>79.44</v>
      </c>
    </row>
    <row r="40" customFormat="false" ht="15" hidden="false" customHeight="false" outlineLevel="0" collapsed="false">
      <c r="A40" s="11" t="n">
        <v>46121</v>
      </c>
      <c r="B40" s="2" t="s">
        <v>285</v>
      </c>
      <c r="C40" s="2" t="s">
        <v>425</v>
      </c>
      <c r="D40" s="2" t="n">
        <v>302</v>
      </c>
      <c r="E40" s="2" t="n">
        <v>58</v>
      </c>
      <c r="F40" s="2" t="n">
        <v>121</v>
      </c>
      <c r="G40" s="2" t="n">
        <v>4943.72</v>
      </c>
      <c r="H40" s="2" t="n">
        <v>187.22</v>
      </c>
      <c r="I40" s="2" t="n">
        <v>4756.5</v>
      </c>
      <c r="J40" s="2" t="n">
        <v>1866.58</v>
      </c>
      <c r="K40" s="2" t="n">
        <v>2889.92</v>
      </c>
      <c r="L40" s="2" t="n">
        <v>82.01</v>
      </c>
    </row>
    <row r="41" customFormat="false" ht="15" hidden="false" customHeight="false" outlineLevel="0" collapsed="false">
      <c r="A41" s="11" t="n">
        <v>46122</v>
      </c>
      <c r="B41" s="2" t="s">
        <v>285</v>
      </c>
      <c r="C41" s="2" t="s">
        <v>426</v>
      </c>
      <c r="D41" s="2" t="n">
        <v>262</v>
      </c>
      <c r="E41" s="2" t="n">
        <v>76</v>
      </c>
      <c r="F41" s="2" t="n">
        <v>119</v>
      </c>
      <c r="G41" s="2" t="n">
        <v>7339.39</v>
      </c>
      <c r="H41" s="2" t="n">
        <v>228.79</v>
      </c>
      <c r="I41" s="2" t="n">
        <v>7110.6</v>
      </c>
      <c r="J41" s="2" t="n">
        <v>2748.25</v>
      </c>
      <c r="K41" s="2" t="n">
        <v>4362.35</v>
      </c>
      <c r="L41" s="2" t="n">
        <v>93.56</v>
      </c>
    </row>
    <row r="42" customFormat="false" ht="15" hidden="false" customHeight="false" outlineLevel="0" collapsed="false">
      <c r="A42" s="11" t="n">
        <v>46123</v>
      </c>
      <c r="B42" s="2" t="s">
        <v>285</v>
      </c>
      <c r="C42" s="2" t="s">
        <v>427</v>
      </c>
      <c r="D42" s="2" t="n">
        <v>436</v>
      </c>
      <c r="E42" s="2" t="n">
        <v>98</v>
      </c>
      <c r="F42" s="2" t="n">
        <v>145</v>
      </c>
      <c r="G42" s="2" t="n">
        <v>8609.53</v>
      </c>
      <c r="H42" s="2" t="n">
        <v>508.37</v>
      </c>
      <c r="I42" s="2" t="n">
        <v>8101.16</v>
      </c>
      <c r="J42" s="2" t="n">
        <v>3096.52</v>
      </c>
      <c r="K42" s="2" t="n">
        <v>5004.64</v>
      </c>
      <c r="L42" s="2" t="n">
        <v>82.66</v>
      </c>
    </row>
    <row r="43" customFormat="false" ht="15" hidden="false" customHeight="false" outlineLevel="0" collapsed="false">
      <c r="A43" s="11" t="n">
        <v>46124</v>
      </c>
      <c r="B43" s="2" t="s">
        <v>285</v>
      </c>
      <c r="C43" s="2" t="s">
        <v>428</v>
      </c>
      <c r="D43" s="2" t="n">
        <v>306</v>
      </c>
      <c r="E43" s="2" t="n">
        <v>68</v>
      </c>
      <c r="F43" s="2" t="n">
        <v>121</v>
      </c>
      <c r="G43" s="2" t="n">
        <v>6073.45</v>
      </c>
      <c r="H43" s="2" t="n">
        <v>127.43</v>
      </c>
      <c r="I43" s="2" t="n">
        <v>5946.02</v>
      </c>
      <c r="J43" s="2" t="n">
        <v>2318.89</v>
      </c>
      <c r="K43" s="2" t="n">
        <v>3627.13</v>
      </c>
      <c r="L43" s="2" t="n">
        <v>87.44</v>
      </c>
    </row>
    <row r="44" customFormat="false" ht="15" hidden="false" customHeight="false" outlineLevel="0" collapsed="false">
      <c r="A44" s="11" t="n">
        <v>46125</v>
      </c>
      <c r="B44" s="2" t="s">
        <v>285</v>
      </c>
      <c r="C44" s="2" t="s">
        <v>422</v>
      </c>
      <c r="D44" s="2" t="n">
        <v>210</v>
      </c>
      <c r="E44" s="2" t="n">
        <v>42</v>
      </c>
      <c r="F44" s="2" t="n">
        <v>52</v>
      </c>
      <c r="G44" s="2" t="n">
        <v>4479.26</v>
      </c>
      <c r="H44" s="2" t="n">
        <v>210.69</v>
      </c>
      <c r="I44" s="2" t="n">
        <v>4268.57</v>
      </c>
      <c r="J44" s="2" t="n">
        <v>1647.38</v>
      </c>
      <c r="K44" s="2" t="n">
        <v>2621.19</v>
      </c>
      <c r="L44" s="2" t="n">
        <v>101.63</v>
      </c>
    </row>
    <row r="45" customFormat="false" ht="15" hidden="false" customHeight="false" outlineLevel="0" collapsed="false">
      <c r="A45" s="11" t="n">
        <v>46126</v>
      </c>
      <c r="B45" s="2" t="s">
        <v>285</v>
      </c>
      <c r="C45" s="2" t="s">
        <v>423</v>
      </c>
      <c r="D45" s="2" t="n">
        <v>193</v>
      </c>
      <c r="E45" s="2" t="n">
        <v>38</v>
      </c>
      <c r="F45" s="2" t="n">
        <v>70</v>
      </c>
      <c r="G45" s="2" t="n">
        <v>4305.85</v>
      </c>
      <c r="H45" s="2" t="n">
        <v>103.58</v>
      </c>
      <c r="I45" s="2" t="n">
        <v>4202.27</v>
      </c>
      <c r="J45" s="2" t="n">
        <v>1594.2</v>
      </c>
      <c r="K45" s="2" t="n">
        <v>2608.07</v>
      </c>
      <c r="L45" s="2" t="n">
        <v>110.59</v>
      </c>
    </row>
    <row r="46" customFormat="false" ht="15" hidden="false" customHeight="false" outlineLevel="0" collapsed="false">
      <c r="A46" s="11" t="n">
        <v>46127</v>
      </c>
      <c r="B46" s="2" t="s">
        <v>285</v>
      </c>
      <c r="C46" s="2" t="s">
        <v>424</v>
      </c>
      <c r="D46" s="2" t="n">
        <v>150</v>
      </c>
      <c r="E46" s="2" t="n">
        <v>44</v>
      </c>
      <c r="F46" s="2" t="n">
        <v>71</v>
      </c>
      <c r="G46" s="2" t="n">
        <v>4913.95</v>
      </c>
      <c r="H46" s="2" t="n">
        <v>342.85</v>
      </c>
      <c r="I46" s="2" t="n">
        <v>4571.1</v>
      </c>
      <c r="J46" s="2" t="n">
        <v>1760.8</v>
      </c>
      <c r="K46" s="2" t="n">
        <v>2810.3</v>
      </c>
      <c r="L46" s="2" t="n">
        <v>103.89</v>
      </c>
    </row>
    <row r="47" customFormat="false" ht="15" hidden="false" customHeight="false" outlineLevel="0" collapsed="false">
      <c r="A47" s="11" t="n">
        <v>46128</v>
      </c>
      <c r="B47" s="2" t="s">
        <v>285</v>
      </c>
      <c r="C47" s="2" t="s">
        <v>425</v>
      </c>
      <c r="D47" s="2" t="n">
        <v>340</v>
      </c>
      <c r="E47" s="2" t="n">
        <v>71</v>
      </c>
      <c r="F47" s="2" t="n">
        <v>102</v>
      </c>
      <c r="G47" s="2" t="n">
        <v>4973.94</v>
      </c>
      <c r="H47" s="2" t="n">
        <v>206.87</v>
      </c>
      <c r="I47" s="2" t="n">
        <v>4767.07</v>
      </c>
      <c r="J47" s="2" t="n">
        <v>1880.54</v>
      </c>
      <c r="K47" s="2" t="n">
        <v>2886.53</v>
      </c>
      <c r="L47" s="2" t="n">
        <v>67.14</v>
      </c>
    </row>
    <row r="48" customFormat="false" ht="15" hidden="false" customHeight="false" outlineLevel="0" collapsed="false">
      <c r="A48" s="11" t="n">
        <v>46129</v>
      </c>
      <c r="B48" s="2" t="s">
        <v>285</v>
      </c>
      <c r="C48" s="2" t="s">
        <v>426</v>
      </c>
      <c r="D48" s="2" t="n">
        <v>295</v>
      </c>
      <c r="E48" s="2" t="n">
        <v>61</v>
      </c>
      <c r="F48" s="2" t="n">
        <v>78</v>
      </c>
      <c r="G48" s="2" t="n">
        <v>6450.88</v>
      </c>
      <c r="H48" s="2" t="n">
        <v>407.04</v>
      </c>
      <c r="I48" s="2" t="n">
        <v>6043.84</v>
      </c>
      <c r="J48" s="2" t="n">
        <v>2266.67</v>
      </c>
      <c r="K48" s="2" t="n">
        <v>3777.17</v>
      </c>
      <c r="L48" s="2" t="n">
        <v>99.08</v>
      </c>
    </row>
    <row r="49" customFormat="false" ht="15" hidden="false" customHeight="false" outlineLevel="0" collapsed="false">
      <c r="A49" s="11" t="n">
        <v>46130</v>
      </c>
      <c r="B49" s="2" t="s">
        <v>285</v>
      </c>
      <c r="C49" s="2" t="s">
        <v>427</v>
      </c>
      <c r="D49" s="2" t="n">
        <v>339</v>
      </c>
      <c r="E49" s="2" t="n">
        <v>70</v>
      </c>
      <c r="F49" s="2" t="n">
        <v>141</v>
      </c>
      <c r="G49" s="2" t="n">
        <v>7445.74</v>
      </c>
      <c r="H49" s="2" t="n">
        <v>413.11</v>
      </c>
      <c r="I49" s="2" t="n">
        <v>7032.63</v>
      </c>
      <c r="J49" s="2" t="n">
        <v>2751.69</v>
      </c>
      <c r="K49" s="2" t="n">
        <v>4280.94</v>
      </c>
      <c r="L49" s="2" t="n">
        <v>100.47</v>
      </c>
    </row>
    <row r="50" customFormat="false" ht="15" hidden="false" customHeight="false" outlineLevel="0" collapsed="false">
      <c r="A50" s="11" t="n">
        <v>46131</v>
      </c>
      <c r="B50" s="2" t="s">
        <v>285</v>
      </c>
      <c r="C50" s="2" t="s">
        <v>428</v>
      </c>
      <c r="D50" s="2" t="n">
        <v>247</v>
      </c>
      <c r="E50" s="2" t="n">
        <v>46</v>
      </c>
      <c r="F50" s="2" t="n">
        <v>82</v>
      </c>
      <c r="G50" s="2" t="n">
        <v>5251.95</v>
      </c>
      <c r="H50" s="2" t="n">
        <v>340.29</v>
      </c>
      <c r="I50" s="2" t="n">
        <v>4911.66</v>
      </c>
      <c r="J50" s="2" t="n">
        <v>1868.07</v>
      </c>
      <c r="K50" s="2" t="n">
        <v>3043.59</v>
      </c>
      <c r="L50" s="2" t="n">
        <v>106.78</v>
      </c>
    </row>
    <row r="51" customFormat="false" ht="15" hidden="false" customHeight="false" outlineLevel="0" collapsed="false">
      <c r="A51" s="11" t="n">
        <v>46132</v>
      </c>
      <c r="B51" s="2" t="s">
        <v>285</v>
      </c>
      <c r="C51" s="2" t="s">
        <v>422</v>
      </c>
      <c r="D51" s="2" t="n">
        <v>286</v>
      </c>
      <c r="E51" s="2" t="n">
        <v>59</v>
      </c>
      <c r="F51" s="2" t="n">
        <v>118</v>
      </c>
      <c r="G51" s="2" t="n">
        <v>4074.98</v>
      </c>
      <c r="H51" s="2" t="n">
        <v>138.68</v>
      </c>
      <c r="I51" s="2" t="n">
        <v>3936.3</v>
      </c>
      <c r="J51" s="2" t="n">
        <v>1512.18</v>
      </c>
      <c r="K51" s="2" t="n">
        <v>2424.12</v>
      </c>
      <c r="L51" s="2" t="n">
        <v>66.72</v>
      </c>
    </row>
    <row r="52" customFormat="false" ht="15" hidden="false" customHeight="false" outlineLevel="0" collapsed="false">
      <c r="A52" s="11" t="n">
        <v>46133</v>
      </c>
      <c r="B52" s="2" t="s">
        <v>285</v>
      </c>
      <c r="C52" s="2" t="s">
        <v>423</v>
      </c>
      <c r="D52" s="2" t="n">
        <v>205</v>
      </c>
      <c r="E52" s="2" t="n">
        <v>41</v>
      </c>
      <c r="F52" s="2" t="n">
        <v>74</v>
      </c>
      <c r="G52" s="2" t="n">
        <v>4514.35</v>
      </c>
      <c r="H52" s="2" t="n">
        <v>301.87</v>
      </c>
      <c r="I52" s="2" t="n">
        <v>4212.48</v>
      </c>
      <c r="J52" s="2" t="n">
        <v>1651.58</v>
      </c>
      <c r="K52" s="2" t="n">
        <v>2560.9</v>
      </c>
      <c r="L52" s="2" t="n">
        <v>102.74</v>
      </c>
    </row>
    <row r="53" customFormat="false" ht="15" hidden="false" customHeight="false" outlineLevel="0" collapsed="false">
      <c r="A53" s="11" t="n">
        <v>46134</v>
      </c>
      <c r="B53" s="2" t="s">
        <v>285</v>
      </c>
      <c r="C53" s="2" t="s">
        <v>424</v>
      </c>
      <c r="D53" s="2" t="n">
        <v>227</v>
      </c>
      <c r="E53" s="2" t="n">
        <v>61</v>
      </c>
      <c r="F53" s="2" t="n">
        <v>112</v>
      </c>
      <c r="G53" s="2" t="n">
        <v>4384.4</v>
      </c>
      <c r="H53" s="2" t="n">
        <v>156.47</v>
      </c>
      <c r="I53" s="2" t="n">
        <v>4227.93</v>
      </c>
      <c r="J53" s="2" t="n">
        <v>1589.54</v>
      </c>
      <c r="K53" s="2" t="n">
        <v>2638.39</v>
      </c>
      <c r="L53" s="2" t="n">
        <v>69.31</v>
      </c>
    </row>
    <row r="54" customFormat="false" ht="15" hidden="false" customHeight="false" outlineLevel="0" collapsed="false">
      <c r="A54" s="11" t="n">
        <v>46135</v>
      </c>
      <c r="B54" s="2" t="s">
        <v>285</v>
      </c>
      <c r="C54" s="2" t="s">
        <v>425</v>
      </c>
      <c r="D54" s="2" t="n">
        <v>287</v>
      </c>
      <c r="E54" s="2" t="n">
        <v>53</v>
      </c>
      <c r="F54" s="2" t="n">
        <v>76</v>
      </c>
      <c r="G54" s="2" t="n">
        <v>5194.01</v>
      </c>
      <c r="H54" s="2" t="n">
        <v>229.36</v>
      </c>
      <c r="I54" s="2" t="n">
        <v>4964.65</v>
      </c>
      <c r="J54" s="2" t="n">
        <v>1954.05</v>
      </c>
      <c r="K54" s="2" t="n">
        <v>3010.6</v>
      </c>
      <c r="L54" s="2" t="n">
        <v>93.67</v>
      </c>
    </row>
    <row r="55" customFormat="false" ht="15" hidden="false" customHeight="false" outlineLevel="0" collapsed="false">
      <c r="A55" s="11" t="n">
        <v>46136</v>
      </c>
      <c r="B55" s="2" t="s">
        <v>285</v>
      </c>
      <c r="C55" s="2" t="s">
        <v>426</v>
      </c>
      <c r="D55" s="2" t="n">
        <v>389</v>
      </c>
      <c r="E55" s="2" t="n">
        <v>89</v>
      </c>
      <c r="F55" s="2" t="n">
        <v>159</v>
      </c>
      <c r="G55" s="2" t="n">
        <v>6644.8</v>
      </c>
      <c r="H55" s="2" t="n">
        <v>455.87</v>
      </c>
      <c r="I55" s="2" t="n">
        <v>6188.93</v>
      </c>
      <c r="J55" s="2" t="n">
        <v>2372.57</v>
      </c>
      <c r="K55" s="2" t="n">
        <v>3816.36</v>
      </c>
      <c r="L55" s="2" t="n">
        <v>69.54</v>
      </c>
    </row>
    <row r="56" customFormat="false" ht="15" hidden="false" customHeight="false" outlineLevel="0" collapsed="false">
      <c r="A56" s="11" t="n">
        <v>46137</v>
      </c>
      <c r="B56" s="2" t="s">
        <v>285</v>
      </c>
      <c r="C56" s="2" t="s">
        <v>427</v>
      </c>
      <c r="D56" s="2" t="n">
        <v>307</v>
      </c>
      <c r="E56" s="2" t="n">
        <v>72</v>
      </c>
      <c r="F56" s="2" t="n">
        <v>111</v>
      </c>
      <c r="G56" s="2" t="n">
        <v>7311.66</v>
      </c>
      <c r="H56" s="2" t="n">
        <v>502.38</v>
      </c>
      <c r="I56" s="2" t="n">
        <v>6809.28</v>
      </c>
      <c r="J56" s="2" t="n">
        <v>2553.85</v>
      </c>
      <c r="K56" s="2" t="n">
        <v>4255.43</v>
      </c>
      <c r="L56" s="2" t="n">
        <v>94.57</v>
      </c>
    </row>
    <row r="57" customFormat="false" ht="15" hidden="false" customHeight="false" outlineLevel="0" collapsed="false">
      <c r="A57" s="11" t="n">
        <v>46138</v>
      </c>
      <c r="B57" s="2" t="s">
        <v>285</v>
      </c>
      <c r="C57" s="2" t="s">
        <v>428</v>
      </c>
      <c r="D57" s="2" t="n">
        <v>230</v>
      </c>
      <c r="E57" s="2" t="n">
        <v>69</v>
      </c>
      <c r="F57" s="2" t="n">
        <v>132</v>
      </c>
      <c r="G57" s="2" t="n">
        <v>5865.72</v>
      </c>
      <c r="H57" s="2" t="n">
        <v>232.95</v>
      </c>
      <c r="I57" s="2" t="n">
        <v>5632.77</v>
      </c>
      <c r="J57" s="2" t="n">
        <v>2123.55</v>
      </c>
      <c r="K57" s="2" t="n">
        <v>3509.22</v>
      </c>
      <c r="L57" s="2" t="n">
        <v>81.63</v>
      </c>
    </row>
    <row r="58" customFormat="false" ht="15" hidden="false" customHeight="false" outlineLevel="0" collapsed="false">
      <c r="A58" s="11" t="n">
        <v>46139</v>
      </c>
      <c r="B58" s="2" t="s">
        <v>285</v>
      </c>
      <c r="C58" s="2" t="s">
        <v>422</v>
      </c>
      <c r="D58" s="2" t="n">
        <v>134</v>
      </c>
      <c r="E58" s="2" t="n">
        <v>35</v>
      </c>
      <c r="F58" s="2" t="n">
        <v>66</v>
      </c>
      <c r="G58" s="2" t="n">
        <v>3651.3</v>
      </c>
      <c r="H58" s="2" t="n">
        <v>127.12</v>
      </c>
      <c r="I58" s="2" t="n">
        <v>3524.18</v>
      </c>
      <c r="J58" s="2" t="n">
        <v>1333.23</v>
      </c>
      <c r="K58" s="2" t="n">
        <v>2190.95</v>
      </c>
      <c r="L58" s="2" t="n">
        <v>100.69</v>
      </c>
    </row>
    <row r="59" customFormat="false" ht="15" hidden="false" customHeight="false" outlineLevel="0" collapsed="false">
      <c r="A59" s="11" t="n">
        <v>46140</v>
      </c>
      <c r="B59" s="2" t="s">
        <v>285</v>
      </c>
      <c r="C59" s="2" t="s">
        <v>423</v>
      </c>
      <c r="D59" s="2" t="n">
        <v>178</v>
      </c>
      <c r="E59" s="2" t="n">
        <v>34</v>
      </c>
      <c r="F59" s="2" t="n">
        <v>43</v>
      </c>
      <c r="G59" s="2" t="n">
        <v>3960.59</v>
      </c>
      <c r="H59" s="2" t="n">
        <v>163.23</v>
      </c>
      <c r="I59" s="2" t="n">
        <v>3797.36</v>
      </c>
      <c r="J59" s="2" t="n">
        <v>1482.54</v>
      </c>
      <c r="K59" s="2" t="n">
        <v>2314.82</v>
      </c>
      <c r="L59" s="2" t="n">
        <v>111.69</v>
      </c>
    </row>
    <row r="60" customFormat="false" ht="15" hidden="false" customHeight="false" outlineLevel="0" collapsed="false">
      <c r="A60" s="11" t="n">
        <v>46141</v>
      </c>
      <c r="B60" s="2" t="s">
        <v>285</v>
      </c>
      <c r="C60" s="2" t="s">
        <v>424</v>
      </c>
      <c r="D60" s="2" t="n">
        <v>263</v>
      </c>
      <c r="E60" s="2" t="n">
        <v>54</v>
      </c>
      <c r="F60" s="2" t="n">
        <v>100</v>
      </c>
      <c r="G60" s="2" t="n">
        <v>4070.19</v>
      </c>
      <c r="H60" s="2" t="n">
        <v>195.97</v>
      </c>
      <c r="I60" s="2" t="n">
        <v>3874.22</v>
      </c>
      <c r="J60" s="2" t="n">
        <v>1459.32</v>
      </c>
      <c r="K60" s="2" t="n">
        <v>2414.9</v>
      </c>
      <c r="L60" s="2" t="n">
        <v>71.74</v>
      </c>
    </row>
    <row r="61" customFormat="false" ht="15" hidden="false" customHeight="false" outlineLevel="0" collapsed="false">
      <c r="A61" s="11" t="n">
        <v>46142</v>
      </c>
      <c r="B61" s="2" t="s">
        <v>285</v>
      </c>
      <c r="C61" s="2" t="s">
        <v>425</v>
      </c>
      <c r="D61" s="2" t="n">
        <v>172</v>
      </c>
      <c r="E61" s="2" t="n">
        <v>41</v>
      </c>
      <c r="F61" s="2" t="n">
        <v>82</v>
      </c>
      <c r="G61" s="2" t="n">
        <v>5070.54</v>
      </c>
      <c r="H61" s="2" t="n">
        <v>248.42</v>
      </c>
      <c r="I61" s="2" t="n">
        <v>4822.12</v>
      </c>
      <c r="J61" s="2" t="n">
        <v>1903.05</v>
      </c>
      <c r="K61" s="2" t="n">
        <v>2919.07</v>
      </c>
      <c r="L61" s="2" t="n">
        <v>117.61</v>
      </c>
    </row>
    <row r="62" customFormat="false" ht="15" hidden="false" customHeight="false" outlineLevel="0" collapsed="false">
      <c r="A62" s="11" t="n">
        <v>46143</v>
      </c>
      <c r="B62" s="2" t="s">
        <v>285</v>
      </c>
      <c r="C62" s="2" t="s">
        <v>426</v>
      </c>
      <c r="D62" s="2" t="n">
        <v>208</v>
      </c>
      <c r="E62" s="2" t="n">
        <v>46</v>
      </c>
      <c r="F62" s="2" t="n">
        <v>95</v>
      </c>
      <c r="G62" s="2" t="n">
        <v>4988.31</v>
      </c>
      <c r="H62" s="2" t="n">
        <v>245.93</v>
      </c>
      <c r="I62" s="2" t="n">
        <v>4742.38</v>
      </c>
      <c r="J62" s="2" t="n">
        <v>1847.26</v>
      </c>
      <c r="K62" s="2" t="n">
        <v>2895.12</v>
      </c>
      <c r="L62" s="2" t="n">
        <v>103.1</v>
      </c>
    </row>
    <row r="63" customFormat="false" ht="15" hidden="false" customHeight="false" outlineLevel="0" collapsed="false">
      <c r="A63" s="11" t="n">
        <v>46144</v>
      </c>
      <c r="B63" s="2" t="s">
        <v>285</v>
      </c>
      <c r="C63" s="2" t="s">
        <v>427</v>
      </c>
      <c r="D63" s="2" t="n">
        <v>206</v>
      </c>
      <c r="E63" s="2" t="n">
        <v>60</v>
      </c>
      <c r="F63" s="2" t="n">
        <v>102</v>
      </c>
      <c r="G63" s="2" t="n">
        <v>6766.32</v>
      </c>
      <c r="H63" s="2" t="n">
        <v>304.74</v>
      </c>
      <c r="I63" s="2" t="n">
        <v>6461.58</v>
      </c>
      <c r="J63" s="2" t="n">
        <v>2509.57</v>
      </c>
      <c r="K63" s="2" t="n">
        <v>3952.01</v>
      </c>
      <c r="L63" s="2" t="n">
        <v>107.69</v>
      </c>
    </row>
    <row r="64" customFormat="false" ht="15" hidden="false" customHeight="false" outlineLevel="0" collapsed="false">
      <c r="A64" s="11" t="n">
        <v>46145</v>
      </c>
      <c r="B64" s="2" t="s">
        <v>285</v>
      </c>
      <c r="C64" s="2" t="s">
        <v>428</v>
      </c>
      <c r="D64" s="2" t="n">
        <v>280</v>
      </c>
      <c r="E64" s="2" t="n">
        <v>51</v>
      </c>
      <c r="F64" s="2" t="n">
        <v>63</v>
      </c>
      <c r="G64" s="2" t="n">
        <v>5010.88</v>
      </c>
      <c r="H64" s="2" t="n">
        <v>173.27</v>
      </c>
      <c r="I64" s="2" t="n">
        <v>4837.61</v>
      </c>
      <c r="J64" s="2" t="n">
        <v>1850.85</v>
      </c>
      <c r="K64" s="2" t="n">
        <v>2986.76</v>
      </c>
      <c r="L64" s="2" t="n">
        <v>94.86</v>
      </c>
    </row>
    <row r="65" customFormat="false" ht="15" hidden="false" customHeight="false" outlineLevel="0" collapsed="false">
      <c r="A65" s="11" t="n">
        <v>46146</v>
      </c>
      <c r="B65" s="2" t="s">
        <v>285</v>
      </c>
      <c r="C65" s="2" t="s">
        <v>422</v>
      </c>
      <c r="D65" s="2" t="n">
        <v>120</v>
      </c>
      <c r="E65" s="2" t="n">
        <v>30</v>
      </c>
      <c r="F65" s="2" t="n">
        <v>57</v>
      </c>
      <c r="G65" s="2" t="n">
        <v>3186.62</v>
      </c>
      <c r="H65" s="2" t="n">
        <v>181.41</v>
      </c>
      <c r="I65" s="2" t="n">
        <v>3005.21</v>
      </c>
      <c r="J65" s="2" t="n">
        <v>1156.37</v>
      </c>
      <c r="K65" s="2" t="n">
        <v>1848.84</v>
      </c>
      <c r="L65" s="2" t="n">
        <v>100.17</v>
      </c>
    </row>
    <row r="66" customFormat="false" ht="15" hidden="false" customHeight="false" outlineLevel="0" collapsed="false">
      <c r="A66" s="11" t="n">
        <v>46147</v>
      </c>
      <c r="B66" s="2" t="s">
        <v>285</v>
      </c>
      <c r="C66" s="2" t="s">
        <v>423</v>
      </c>
      <c r="D66" s="2" t="n">
        <v>133</v>
      </c>
      <c r="E66" s="2" t="n">
        <v>32</v>
      </c>
      <c r="F66" s="2" t="n">
        <v>62</v>
      </c>
      <c r="G66" s="2" t="n">
        <v>3448.4</v>
      </c>
      <c r="H66" s="2" t="n">
        <v>237.47</v>
      </c>
      <c r="I66" s="2" t="n">
        <v>3210.93</v>
      </c>
      <c r="J66" s="2" t="n">
        <v>1229.58</v>
      </c>
      <c r="K66" s="2" t="n">
        <v>1981.35</v>
      </c>
      <c r="L66" s="2" t="n">
        <v>100.34</v>
      </c>
    </row>
    <row r="67" customFormat="false" ht="15" hidden="false" customHeight="false" outlineLevel="0" collapsed="false">
      <c r="A67" s="11" t="n">
        <v>46148</v>
      </c>
      <c r="B67" s="2" t="s">
        <v>285</v>
      </c>
      <c r="C67" s="2" t="s">
        <v>424</v>
      </c>
      <c r="D67" s="2" t="n">
        <v>173</v>
      </c>
      <c r="E67" s="2" t="n">
        <v>50</v>
      </c>
      <c r="F67" s="2" t="n">
        <v>82</v>
      </c>
      <c r="G67" s="2" t="n">
        <v>4047.85</v>
      </c>
      <c r="H67" s="2" t="n">
        <v>87.55</v>
      </c>
      <c r="I67" s="2" t="n">
        <v>3960.3</v>
      </c>
      <c r="J67" s="2" t="n">
        <v>1552.7</v>
      </c>
      <c r="K67" s="2" t="n">
        <v>2407.6</v>
      </c>
      <c r="L67" s="2" t="n">
        <v>79.21</v>
      </c>
    </row>
    <row r="68" customFormat="false" ht="15" hidden="false" customHeight="false" outlineLevel="0" collapsed="false">
      <c r="A68" s="11" t="n">
        <v>46149</v>
      </c>
      <c r="B68" s="2" t="s">
        <v>285</v>
      </c>
      <c r="C68" s="2" t="s">
        <v>425</v>
      </c>
      <c r="D68" s="2" t="n">
        <v>193</v>
      </c>
      <c r="E68" s="2" t="n">
        <v>37</v>
      </c>
      <c r="F68" s="2" t="n">
        <v>47</v>
      </c>
      <c r="G68" s="2" t="n">
        <v>4465</v>
      </c>
      <c r="H68" s="2" t="n">
        <v>179.47</v>
      </c>
      <c r="I68" s="2" t="n">
        <v>4285.53</v>
      </c>
      <c r="J68" s="2" t="n">
        <v>1655.94</v>
      </c>
      <c r="K68" s="2" t="n">
        <v>2629.59</v>
      </c>
      <c r="L68" s="2" t="n">
        <v>115.83</v>
      </c>
    </row>
    <row r="69" customFormat="false" ht="15" hidden="false" customHeight="false" outlineLevel="0" collapsed="false">
      <c r="A69" s="11" t="n">
        <v>46150</v>
      </c>
      <c r="B69" s="2" t="s">
        <v>285</v>
      </c>
      <c r="C69" s="2" t="s">
        <v>426</v>
      </c>
      <c r="D69" s="2" t="n">
        <v>235</v>
      </c>
      <c r="E69" s="2" t="n">
        <v>50</v>
      </c>
      <c r="F69" s="2" t="n">
        <v>72</v>
      </c>
      <c r="G69" s="2" t="n">
        <v>5663.78</v>
      </c>
      <c r="H69" s="2" t="n">
        <v>192.12</v>
      </c>
      <c r="I69" s="2" t="n">
        <v>5471.66</v>
      </c>
      <c r="J69" s="2" t="n">
        <v>2052.66</v>
      </c>
      <c r="K69" s="2" t="n">
        <v>3419</v>
      </c>
      <c r="L69" s="2" t="n">
        <v>109.43</v>
      </c>
    </row>
    <row r="70" customFormat="false" ht="15" hidden="false" customHeight="false" outlineLevel="0" collapsed="false">
      <c r="A70" s="11" t="n">
        <v>46151</v>
      </c>
      <c r="B70" s="2" t="s">
        <v>285</v>
      </c>
      <c r="C70" s="2" t="s">
        <v>427</v>
      </c>
      <c r="D70" s="2" t="n">
        <v>279</v>
      </c>
      <c r="E70" s="2" t="n">
        <v>56</v>
      </c>
      <c r="F70" s="2" t="n">
        <v>104</v>
      </c>
      <c r="G70" s="2" t="n">
        <v>5767.9</v>
      </c>
      <c r="H70" s="2" t="n">
        <v>127.74</v>
      </c>
      <c r="I70" s="2" t="n">
        <v>5640.16</v>
      </c>
      <c r="J70" s="2" t="n">
        <v>2146.84</v>
      </c>
      <c r="K70" s="2" t="n">
        <v>3493.32</v>
      </c>
      <c r="L70" s="2" t="n">
        <v>100.72</v>
      </c>
    </row>
    <row r="71" customFormat="false" ht="15" hidden="false" customHeight="false" outlineLevel="0" collapsed="false">
      <c r="A71" s="11" t="n">
        <v>46152</v>
      </c>
      <c r="B71" s="2" t="s">
        <v>285</v>
      </c>
      <c r="C71" s="2" t="s">
        <v>428</v>
      </c>
      <c r="D71" s="2" t="n">
        <v>234</v>
      </c>
      <c r="E71" s="2" t="n">
        <v>52</v>
      </c>
      <c r="F71" s="2" t="n">
        <v>86</v>
      </c>
      <c r="G71" s="2" t="n">
        <v>4776.04</v>
      </c>
      <c r="H71" s="2" t="n">
        <v>224.97</v>
      </c>
      <c r="I71" s="2" t="n">
        <v>4551.07</v>
      </c>
      <c r="J71" s="2" t="n">
        <v>1784.76</v>
      </c>
      <c r="K71" s="2" t="n">
        <v>2766.31</v>
      </c>
      <c r="L71" s="2" t="n">
        <v>87.52</v>
      </c>
    </row>
    <row r="72" customFormat="false" ht="15" hidden="false" customHeight="false" outlineLevel="0" collapsed="false">
      <c r="A72" s="11" t="n">
        <v>46153</v>
      </c>
      <c r="B72" s="2" t="s">
        <v>285</v>
      </c>
      <c r="C72" s="2" t="s">
        <v>422</v>
      </c>
      <c r="D72" s="2" t="n">
        <v>133</v>
      </c>
      <c r="E72" s="2" t="n">
        <v>32</v>
      </c>
      <c r="F72" s="2" t="n">
        <v>66</v>
      </c>
      <c r="G72" s="2" t="n">
        <v>3236.66</v>
      </c>
      <c r="H72" s="2" t="n">
        <v>78.07</v>
      </c>
      <c r="I72" s="2" t="n">
        <v>3158.59</v>
      </c>
      <c r="J72" s="2" t="n">
        <v>1231.44</v>
      </c>
      <c r="K72" s="2" t="n">
        <v>1927.15</v>
      </c>
      <c r="L72" s="2" t="n">
        <v>98.71</v>
      </c>
    </row>
    <row r="73" customFormat="false" ht="15" hidden="false" customHeight="false" outlineLevel="0" collapsed="false">
      <c r="A73" s="11" t="n">
        <v>46154</v>
      </c>
      <c r="B73" s="2" t="s">
        <v>285</v>
      </c>
      <c r="C73" s="2" t="s">
        <v>423</v>
      </c>
      <c r="D73" s="2" t="n">
        <v>168</v>
      </c>
      <c r="E73" s="2" t="n">
        <v>39</v>
      </c>
      <c r="F73" s="2" t="n">
        <v>76</v>
      </c>
      <c r="G73" s="2" t="n">
        <v>3157.75</v>
      </c>
      <c r="H73" s="2" t="n">
        <v>68.75</v>
      </c>
      <c r="I73" s="2" t="n">
        <v>3089</v>
      </c>
      <c r="J73" s="2" t="n">
        <v>1171.37</v>
      </c>
      <c r="K73" s="2" t="n">
        <v>1917.63</v>
      </c>
      <c r="L73" s="2" t="n">
        <v>79.21</v>
      </c>
    </row>
    <row r="74" customFormat="false" ht="15" hidden="false" customHeight="false" outlineLevel="0" collapsed="false">
      <c r="A74" s="11" t="n">
        <v>46155</v>
      </c>
      <c r="B74" s="2" t="s">
        <v>285</v>
      </c>
      <c r="C74" s="2" t="s">
        <v>424</v>
      </c>
      <c r="D74" s="2" t="n">
        <v>198</v>
      </c>
      <c r="E74" s="2" t="n">
        <v>51</v>
      </c>
      <c r="F74" s="2" t="n">
        <v>82</v>
      </c>
      <c r="G74" s="2" t="n">
        <v>4057.8</v>
      </c>
      <c r="H74" s="2" t="n">
        <v>241.63</v>
      </c>
      <c r="I74" s="2" t="n">
        <v>3816.17</v>
      </c>
      <c r="J74" s="2" t="n">
        <v>1460.63</v>
      </c>
      <c r="K74" s="2" t="n">
        <v>2355.54</v>
      </c>
      <c r="L74" s="2" t="n">
        <v>74.83</v>
      </c>
    </row>
    <row r="75" customFormat="false" ht="15" hidden="false" customHeight="false" outlineLevel="0" collapsed="false">
      <c r="A75" s="11" t="n">
        <v>46156</v>
      </c>
      <c r="B75" s="2" t="s">
        <v>285</v>
      </c>
      <c r="C75" s="2" t="s">
        <v>425</v>
      </c>
      <c r="D75" s="2" t="n">
        <v>252</v>
      </c>
      <c r="E75" s="2" t="n">
        <v>62</v>
      </c>
      <c r="F75" s="2" t="n">
        <v>128</v>
      </c>
      <c r="G75" s="2" t="n">
        <v>4196.33</v>
      </c>
      <c r="H75" s="2" t="n">
        <v>271.45</v>
      </c>
      <c r="I75" s="2" t="n">
        <v>3924.88</v>
      </c>
      <c r="J75" s="2" t="n">
        <v>1511.05</v>
      </c>
      <c r="K75" s="2" t="n">
        <v>2413.83</v>
      </c>
      <c r="L75" s="2" t="n">
        <v>63.3</v>
      </c>
    </row>
    <row r="76" customFormat="false" ht="15" hidden="false" customHeight="false" outlineLevel="0" collapsed="false">
      <c r="A76" s="11" t="n">
        <v>46157</v>
      </c>
      <c r="B76" s="2" t="s">
        <v>285</v>
      </c>
      <c r="C76" s="2" t="s">
        <v>426</v>
      </c>
      <c r="D76" s="2" t="n">
        <v>199</v>
      </c>
      <c r="E76" s="2" t="n">
        <v>45</v>
      </c>
      <c r="F76" s="2" t="n">
        <v>57</v>
      </c>
      <c r="G76" s="2" t="n">
        <v>4826.91</v>
      </c>
      <c r="H76" s="2" t="n">
        <v>180.2</v>
      </c>
      <c r="I76" s="2" t="n">
        <v>4646.71</v>
      </c>
      <c r="J76" s="2" t="n">
        <v>1743.15</v>
      </c>
      <c r="K76" s="2" t="n">
        <v>2903.56</v>
      </c>
      <c r="L76" s="2" t="n">
        <v>103.26</v>
      </c>
    </row>
    <row r="77" customFormat="false" ht="15" hidden="false" customHeight="false" outlineLevel="0" collapsed="false">
      <c r="A77" s="11" t="n">
        <v>46158</v>
      </c>
      <c r="B77" s="2" t="s">
        <v>285</v>
      </c>
      <c r="C77" s="2" t="s">
        <v>427</v>
      </c>
      <c r="D77" s="2" t="n">
        <v>333</v>
      </c>
      <c r="E77" s="2" t="n">
        <v>75</v>
      </c>
      <c r="F77" s="2" t="n">
        <v>131</v>
      </c>
      <c r="G77" s="2" t="n">
        <v>6257.11</v>
      </c>
      <c r="H77" s="2" t="n">
        <v>375.75</v>
      </c>
      <c r="I77" s="2" t="n">
        <v>5881.36</v>
      </c>
      <c r="J77" s="2" t="n">
        <v>2280.89</v>
      </c>
      <c r="K77" s="2" t="n">
        <v>3600.47</v>
      </c>
      <c r="L77" s="2" t="n">
        <v>78.42</v>
      </c>
    </row>
    <row r="78" customFormat="false" ht="15" hidden="false" customHeight="false" outlineLevel="0" collapsed="false">
      <c r="A78" s="11" t="n">
        <v>46159</v>
      </c>
      <c r="B78" s="2" t="s">
        <v>285</v>
      </c>
      <c r="C78" s="2" t="s">
        <v>428</v>
      </c>
      <c r="D78" s="2" t="n">
        <v>266</v>
      </c>
      <c r="E78" s="2" t="n">
        <v>63</v>
      </c>
      <c r="F78" s="2" t="n">
        <v>128</v>
      </c>
      <c r="G78" s="2" t="n">
        <v>4341.11</v>
      </c>
      <c r="H78" s="2" t="n">
        <v>163.17</v>
      </c>
      <c r="I78" s="2" t="n">
        <v>4177.94</v>
      </c>
      <c r="J78" s="2" t="n">
        <v>1645.77</v>
      </c>
      <c r="K78" s="2" t="n">
        <v>2532.17</v>
      </c>
      <c r="L78" s="2" t="n">
        <v>66.32</v>
      </c>
    </row>
    <row r="79" customFormat="false" ht="15" hidden="false" customHeight="false" outlineLevel="0" collapsed="false">
      <c r="A79" s="11" t="n">
        <v>46160</v>
      </c>
      <c r="B79" s="2" t="s">
        <v>285</v>
      </c>
      <c r="C79" s="2" t="s">
        <v>422</v>
      </c>
      <c r="D79" s="2" t="n">
        <v>150</v>
      </c>
      <c r="E79" s="2" t="n">
        <v>37</v>
      </c>
      <c r="F79" s="2" t="n">
        <v>74</v>
      </c>
      <c r="G79" s="2" t="n">
        <v>3665.3</v>
      </c>
      <c r="H79" s="2" t="n">
        <v>113.12</v>
      </c>
      <c r="I79" s="2" t="n">
        <v>3552.18</v>
      </c>
      <c r="J79" s="2" t="n">
        <v>1395.55</v>
      </c>
      <c r="K79" s="2" t="n">
        <v>2156.63</v>
      </c>
      <c r="L79" s="2" t="n">
        <v>96</v>
      </c>
    </row>
    <row r="80" customFormat="false" ht="15" hidden="false" customHeight="false" outlineLevel="0" collapsed="false">
      <c r="A80" s="11" t="n">
        <v>46161</v>
      </c>
      <c r="B80" s="2" t="s">
        <v>285</v>
      </c>
      <c r="C80" s="2" t="s">
        <v>423</v>
      </c>
      <c r="D80" s="2" t="n">
        <v>236</v>
      </c>
      <c r="E80" s="2" t="n">
        <v>43</v>
      </c>
      <c r="F80" s="2" t="n">
        <v>64</v>
      </c>
      <c r="G80" s="2" t="n">
        <v>3501.54</v>
      </c>
      <c r="H80" s="2" t="n">
        <v>193.15</v>
      </c>
      <c r="I80" s="2" t="n">
        <v>3308.39</v>
      </c>
      <c r="J80" s="2" t="n">
        <v>1248.9</v>
      </c>
      <c r="K80" s="2" t="n">
        <v>2059.49</v>
      </c>
      <c r="L80" s="2" t="n">
        <v>76.94</v>
      </c>
    </row>
    <row r="81" customFormat="false" ht="15" hidden="false" customHeight="false" outlineLevel="0" collapsed="false">
      <c r="A81" s="11" t="n">
        <v>46162</v>
      </c>
      <c r="B81" s="2" t="s">
        <v>285</v>
      </c>
      <c r="C81" s="2" t="s">
        <v>424</v>
      </c>
      <c r="D81" s="2" t="n">
        <v>202</v>
      </c>
      <c r="E81" s="2" t="n">
        <v>37</v>
      </c>
      <c r="F81" s="2" t="n">
        <v>62</v>
      </c>
      <c r="G81" s="2" t="n">
        <v>3334.79</v>
      </c>
      <c r="H81" s="2" t="n">
        <v>94.04</v>
      </c>
      <c r="I81" s="2" t="n">
        <v>3240.75</v>
      </c>
      <c r="J81" s="2" t="n">
        <v>1243.47</v>
      </c>
      <c r="K81" s="2" t="n">
        <v>1997.28</v>
      </c>
      <c r="L81" s="2" t="n">
        <v>87.59</v>
      </c>
    </row>
    <row r="82" customFormat="false" ht="15" hidden="false" customHeight="false" outlineLevel="0" collapsed="false">
      <c r="A82" s="11" t="n">
        <v>46163</v>
      </c>
      <c r="B82" s="2" t="s">
        <v>285</v>
      </c>
      <c r="C82" s="2" t="s">
        <v>425</v>
      </c>
      <c r="D82" s="2" t="n">
        <v>182</v>
      </c>
      <c r="E82" s="2" t="n">
        <v>43</v>
      </c>
      <c r="F82" s="2" t="n">
        <v>80</v>
      </c>
      <c r="G82" s="2" t="n">
        <v>4057.91</v>
      </c>
      <c r="H82" s="2" t="n">
        <v>214.23</v>
      </c>
      <c r="I82" s="2" t="n">
        <v>3843.68</v>
      </c>
      <c r="J82" s="2" t="n">
        <v>1469.07</v>
      </c>
      <c r="K82" s="2" t="n">
        <v>2374.61</v>
      </c>
      <c r="L82" s="2" t="n">
        <v>89.39</v>
      </c>
    </row>
    <row r="83" customFormat="false" ht="15" hidden="false" customHeight="false" outlineLevel="0" collapsed="false">
      <c r="A83" s="11" t="n">
        <v>46164</v>
      </c>
      <c r="B83" s="2" t="s">
        <v>285</v>
      </c>
      <c r="C83" s="2" t="s">
        <v>426</v>
      </c>
      <c r="D83" s="2" t="n">
        <v>204</v>
      </c>
      <c r="E83" s="2" t="n">
        <v>44</v>
      </c>
      <c r="F83" s="2" t="n">
        <v>53</v>
      </c>
      <c r="G83" s="2" t="n">
        <v>5285.23</v>
      </c>
      <c r="H83" s="2" t="n">
        <v>306.24</v>
      </c>
      <c r="I83" s="2" t="n">
        <v>4978.99</v>
      </c>
      <c r="J83" s="2" t="n">
        <v>1900.42</v>
      </c>
      <c r="K83" s="2" t="n">
        <v>3078.57</v>
      </c>
      <c r="L83" s="2" t="n">
        <v>113.16</v>
      </c>
    </row>
    <row r="84" customFormat="false" ht="15" hidden="false" customHeight="false" outlineLevel="0" collapsed="false">
      <c r="A84" s="11" t="n">
        <v>46165</v>
      </c>
      <c r="B84" s="2" t="s">
        <v>285</v>
      </c>
      <c r="C84" s="2" t="s">
        <v>427</v>
      </c>
      <c r="D84" s="2" t="n">
        <v>220</v>
      </c>
      <c r="E84" s="2" t="n">
        <v>58</v>
      </c>
      <c r="F84" s="2" t="n">
        <v>90</v>
      </c>
      <c r="G84" s="2" t="n">
        <v>6375.76</v>
      </c>
      <c r="H84" s="2" t="n">
        <v>311.61</v>
      </c>
      <c r="I84" s="2" t="n">
        <v>6064.15</v>
      </c>
      <c r="J84" s="2" t="n">
        <v>2311.99</v>
      </c>
      <c r="K84" s="2" t="n">
        <v>3752.16</v>
      </c>
      <c r="L84" s="2" t="n">
        <v>104.55</v>
      </c>
    </row>
    <row r="85" customFormat="false" ht="15" hidden="false" customHeight="false" outlineLevel="0" collapsed="false">
      <c r="A85" s="11" t="n">
        <v>46166</v>
      </c>
      <c r="B85" s="2" t="s">
        <v>285</v>
      </c>
      <c r="C85" s="2" t="s">
        <v>428</v>
      </c>
      <c r="D85" s="2" t="n">
        <v>150</v>
      </c>
      <c r="E85" s="2" t="n">
        <v>43</v>
      </c>
      <c r="F85" s="2" t="n">
        <v>75</v>
      </c>
      <c r="G85" s="2" t="n">
        <v>4552.33</v>
      </c>
      <c r="H85" s="2" t="n">
        <v>277.65</v>
      </c>
      <c r="I85" s="2" t="n">
        <v>4274.68</v>
      </c>
      <c r="J85" s="2" t="n">
        <v>1670.14</v>
      </c>
      <c r="K85" s="2" t="n">
        <v>2604.54</v>
      </c>
      <c r="L85" s="2" t="n">
        <v>99.41</v>
      </c>
    </row>
    <row r="86" customFormat="false" ht="15" hidden="false" customHeight="false" outlineLevel="0" collapsed="false">
      <c r="A86" s="11" t="n">
        <v>46167</v>
      </c>
      <c r="B86" s="2" t="s">
        <v>285</v>
      </c>
      <c r="C86" s="2" t="s">
        <v>422</v>
      </c>
      <c r="D86" s="2" t="n">
        <v>100</v>
      </c>
      <c r="E86" s="2" t="n">
        <v>30</v>
      </c>
      <c r="F86" s="2" t="n">
        <v>41</v>
      </c>
      <c r="G86" s="2" t="n">
        <v>3467.36</v>
      </c>
      <c r="H86" s="2" t="n">
        <v>165.57</v>
      </c>
      <c r="I86" s="2" t="n">
        <v>3301.79</v>
      </c>
      <c r="J86" s="2" t="n">
        <v>1268.39</v>
      </c>
      <c r="K86" s="2" t="n">
        <v>2033.4</v>
      </c>
      <c r="L86" s="2" t="n">
        <v>110.06</v>
      </c>
    </row>
    <row r="87" customFormat="false" ht="15" hidden="false" customHeight="false" outlineLevel="0" collapsed="false">
      <c r="A87" s="11" t="n">
        <v>46168</v>
      </c>
      <c r="B87" s="2" t="s">
        <v>285</v>
      </c>
      <c r="C87" s="2" t="s">
        <v>423</v>
      </c>
      <c r="D87" s="2" t="n">
        <v>160</v>
      </c>
      <c r="E87" s="2" t="n">
        <v>29</v>
      </c>
      <c r="F87" s="2" t="n">
        <v>56</v>
      </c>
      <c r="G87" s="2" t="n">
        <v>3713.23</v>
      </c>
      <c r="H87" s="2" t="n">
        <v>221.32</v>
      </c>
      <c r="I87" s="2" t="n">
        <v>3491.91</v>
      </c>
      <c r="J87" s="2" t="n">
        <v>1347.5</v>
      </c>
      <c r="K87" s="2" t="n">
        <v>2144.41</v>
      </c>
      <c r="L87" s="2" t="n">
        <v>120.41</v>
      </c>
    </row>
    <row r="88" customFormat="false" ht="15" hidden="false" customHeight="false" outlineLevel="0" collapsed="false">
      <c r="A88" s="11" t="n">
        <v>46169</v>
      </c>
      <c r="B88" s="2" t="s">
        <v>285</v>
      </c>
      <c r="C88" s="2" t="s">
        <v>424</v>
      </c>
      <c r="D88" s="2" t="n">
        <v>186</v>
      </c>
      <c r="E88" s="2" t="n">
        <v>35</v>
      </c>
      <c r="F88" s="2" t="n">
        <v>51</v>
      </c>
      <c r="G88" s="2" t="n">
        <v>3468.83</v>
      </c>
      <c r="H88" s="2" t="n">
        <v>83.58</v>
      </c>
      <c r="I88" s="2" t="n">
        <v>3385.25</v>
      </c>
      <c r="J88" s="2" t="n">
        <v>1320.17</v>
      </c>
      <c r="K88" s="2" t="n">
        <v>2065.08</v>
      </c>
      <c r="L88" s="2" t="n">
        <v>96.72</v>
      </c>
    </row>
    <row r="89" customFormat="false" ht="15" hidden="false" customHeight="false" outlineLevel="0" collapsed="false">
      <c r="A89" s="11" t="n">
        <v>46170</v>
      </c>
      <c r="B89" s="2" t="s">
        <v>285</v>
      </c>
      <c r="C89" s="2" t="s">
        <v>425</v>
      </c>
      <c r="D89" s="2" t="n">
        <v>248</v>
      </c>
      <c r="E89" s="2" t="n">
        <v>55</v>
      </c>
      <c r="F89" s="2" t="n">
        <v>69</v>
      </c>
      <c r="G89" s="2" t="n">
        <v>4466.52</v>
      </c>
      <c r="H89" s="2" t="n">
        <v>194.98</v>
      </c>
      <c r="I89" s="2" t="n">
        <v>4271.54</v>
      </c>
      <c r="J89" s="2" t="n">
        <v>1664.23</v>
      </c>
      <c r="K89" s="2" t="n">
        <v>2607.31</v>
      </c>
      <c r="L89" s="2" t="n">
        <v>77.66</v>
      </c>
    </row>
    <row r="90" customFormat="false" ht="15" hidden="false" customHeight="false" outlineLevel="0" collapsed="false">
      <c r="A90" s="11" t="n">
        <v>46171</v>
      </c>
      <c r="B90" s="2" t="s">
        <v>285</v>
      </c>
      <c r="C90" s="2" t="s">
        <v>426</v>
      </c>
      <c r="D90" s="2" t="n">
        <v>220</v>
      </c>
      <c r="E90" s="2" t="n">
        <v>48</v>
      </c>
      <c r="F90" s="2" t="n">
        <v>81</v>
      </c>
      <c r="G90" s="2" t="n">
        <v>4809.17</v>
      </c>
      <c r="H90" s="2" t="n">
        <v>328.2</v>
      </c>
      <c r="I90" s="2" t="n">
        <v>4480.97</v>
      </c>
      <c r="J90" s="2" t="n">
        <v>1717.36</v>
      </c>
      <c r="K90" s="2" t="n">
        <v>2763.61</v>
      </c>
      <c r="L90" s="2" t="n">
        <v>93.35</v>
      </c>
    </row>
    <row r="91" customFormat="false" ht="15" hidden="false" customHeight="false" outlineLevel="0" collapsed="false">
      <c r="A91" s="11" t="n">
        <v>46172</v>
      </c>
      <c r="B91" s="2" t="s">
        <v>285</v>
      </c>
      <c r="C91" s="2" t="s">
        <v>427</v>
      </c>
      <c r="D91" s="2" t="n">
        <v>276</v>
      </c>
      <c r="E91" s="2" t="n">
        <v>73</v>
      </c>
      <c r="F91" s="2" t="n">
        <v>142</v>
      </c>
      <c r="G91" s="2" t="n">
        <v>6000.04</v>
      </c>
      <c r="H91" s="2" t="n">
        <v>233.13</v>
      </c>
      <c r="I91" s="2" t="n">
        <v>5766.91</v>
      </c>
      <c r="J91" s="2" t="n">
        <v>2266.25</v>
      </c>
      <c r="K91" s="2" t="n">
        <v>3500.66</v>
      </c>
      <c r="L91" s="2" t="n">
        <v>79</v>
      </c>
    </row>
    <row r="92" customFormat="false" ht="15" hidden="false" customHeight="false" outlineLevel="0" collapsed="false">
      <c r="A92" s="11" t="n">
        <v>46173</v>
      </c>
      <c r="B92" s="2" t="s">
        <v>285</v>
      </c>
      <c r="C92" s="2" t="s">
        <v>428</v>
      </c>
      <c r="D92" s="2" t="n">
        <v>146</v>
      </c>
      <c r="E92" s="2" t="n">
        <v>43</v>
      </c>
      <c r="F92" s="2" t="n">
        <v>70</v>
      </c>
      <c r="G92" s="2" t="n">
        <v>4334.92</v>
      </c>
      <c r="H92" s="2" t="n">
        <v>127.75</v>
      </c>
      <c r="I92" s="2" t="n">
        <v>4207.17</v>
      </c>
      <c r="J92" s="2" t="n">
        <v>1589.93</v>
      </c>
      <c r="K92" s="2" t="n">
        <v>2617.24</v>
      </c>
      <c r="L92" s="2" t="n">
        <v>97.84</v>
      </c>
    </row>
    <row r="93" customFormat="false" ht="15" hidden="false" customHeight="false" outlineLevel="0" collapsed="false">
      <c r="A93" s="11" t="n">
        <v>46174</v>
      </c>
      <c r="B93" s="2" t="s">
        <v>285</v>
      </c>
      <c r="C93" s="2" t="s">
        <v>422</v>
      </c>
      <c r="D93" s="2" t="n">
        <v>122</v>
      </c>
      <c r="E93" s="2" t="n">
        <v>36</v>
      </c>
      <c r="F93" s="2" t="n">
        <v>64</v>
      </c>
      <c r="G93" s="2" t="n">
        <v>3214.79</v>
      </c>
      <c r="H93" s="2" t="n">
        <v>206.15</v>
      </c>
      <c r="I93" s="2" t="n">
        <v>3008.64</v>
      </c>
      <c r="J93" s="2" t="n">
        <v>1130.52</v>
      </c>
      <c r="K93" s="2" t="n">
        <v>1878.12</v>
      </c>
      <c r="L93" s="2" t="n">
        <v>83.57</v>
      </c>
    </row>
    <row r="94" customFormat="false" ht="15" hidden="false" customHeight="false" outlineLevel="0" collapsed="false">
      <c r="A94" s="11" t="n">
        <v>46175</v>
      </c>
      <c r="B94" s="2" t="s">
        <v>285</v>
      </c>
      <c r="C94" s="2" t="s">
        <v>423</v>
      </c>
      <c r="D94" s="2" t="n">
        <v>126</v>
      </c>
      <c r="E94" s="2" t="n">
        <v>35</v>
      </c>
      <c r="F94" s="2" t="n">
        <v>42</v>
      </c>
      <c r="G94" s="2" t="n">
        <v>3652.69</v>
      </c>
      <c r="H94" s="2" t="n">
        <v>203.68</v>
      </c>
      <c r="I94" s="2" t="n">
        <v>3449.01</v>
      </c>
      <c r="J94" s="2" t="n">
        <v>1297.38</v>
      </c>
      <c r="K94" s="2" t="n">
        <v>2151.63</v>
      </c>
      <c r="L94" s="2" t="n">
        <v>98.54</v>
      </c>
    </row>
    <row r="95" customFormat="false" ht="15" hidden="false" customHeight="false" outlineLevel="0" collapsed="false">
      <c r="A95" s="11" t="n">
        <v>46176</v>
      </c>
      <c r="B95" s="2" t="s">
        <v>285</v>
      </c>
      <c r="C95" s="2" t="s">
        <v>424</v>
      </c>
      <c r="D95" s="2" t="n">
        <v>155</v>
      </c>
      <c r="E95" s="2" t="n">
        <v>41</v>
      </c>
      <c r="F95" s="2" t="n">
        <v>65</v>
      </c>
      <c r="G95" s="2" t="n">
        <v>3525.99</v>
      </c>
      <c r="H95" s="2" t="n">
        <v>126.51</v>
      </c>
      <c r="I95" s="2" t="n">
        <v>3399.48</v>
      </c>
      <c r="J95" s="2" t="n">
        <v>1315.35</v>
      </c>
      <c r="K95" s="2" t="n">
        <v>2084.13</v>
      </c>
      <c r="L95" s="2" t="n">
        <v>82.91</v>
      </c>
    </row>
    <row r="96" customFormat="false" ht="15" hidden="false" customHeight="false" outlineLevel="0" collapsed="false">
      <c r="A96" s="11" t="n">
        <v>46177</v>
      </c>
      <c r="B96" s="2" t="s">
        <v>285</v>
      </c>
      <c r="C96" s="2" t="s">
        <v>425</v>
      </c>
      <c r="D96" s="2" t="n">
        <v>263</v>
      </c>
      <c r="E96" s="2" t="n">
        <v>57</v>
      </c>
      <c r="F96" s="2" t="n">
        <v>119</v>
      </c>
      <c r="G96" s="2" t="n">
        <v>3924.23</v>
      </c>
      <c r="H96" s="2" t="n">
        <v>121.28</v>
      </c>
      <c r="I96" s="2" t="n">
        <v>3802.95</v>
      </c>
      <c r="J96" s="2" t="n">
        <v>1472.47</v>
      </c>
      <c r="K96" s="2" t="n">
        <v>2330.48</v>
      </c>
      <c r="L96" s="2" t="n">
        <v>66.72</v>
      </c>
    </row>
    <row r="97" customFormat="false" ht="15" hidden="false" customHeight="false" outlineLevel="0" collapsed="false">
      <c r="A97" s="11" t="n">
        <v>46178</v>
      </c>
      <c r="B97" s="2" t="s">
        <v>285</v>
      </c>
      <c r="C97" s="2" t="s">
        <v>426</v>
      </c>
      <c r="D97" s="2" t="n">
        <v>177</v>
      </c>
      <c r="E97" s="2" t="n">
        <v>52</v>
      </c>
      <c r="F97" s="2" t="n">
        <v>92</v>
      </c>
      <c r="G97" s="2" t="n">
        <v>4858.09</v>
      </c>
      <c r="H97" s="2" t="n">
        <v>141.4</v>
      </c>
      <c r="I97" s="2" t="n">
        <v>4716.69</v>
      </c>
      <c r="J97" s="2" t="n">
        <v>1859.18</v>
      </c>
      <c r="K97" s="2" t="n">
        <v>2857.51</v>
      </c>
      <c r="L97" s="2" t="n">
        <v>90.71</v>
      </c>
    </row>
    <row r="98" customFormat="false" ht="15" hidden="false" customHeight="false" outlineLevel="0" collapsed="false">
      <c r="A98" s="11" t="n">
        <v>46179</v>
      </c>
      <c r="B98" s="2" t="s">
        <v>285</v>
      </c>
      <c r="C98" s="2" t="s">
        <v>427</v>
      </c>
      <c r="D98" s="2" t="n">
        <v>262</v>
      </c>
      <c r="E98" s="2" t="n">
        <v>73</v>
      </c>
      <c r="F98" s="2" t="n">
        <v>117</v>
      </c>
      <c r="G98" s="2" t="n">
        <v>5938.43</v>
      </c>
      <c r="H98" s="2" t="n">
        <v>324.33</v>
      </c>
      <c r="I98" s="2" t="n">
        <v>5614.1</v>
      </c>
      <c r="J98" s="2" t="n">
        <v>2178.06</v>
      </c>
      <c r="K98" s="2" t="n">
        <v>3436.04</v>
      </c>
      <c r="L98" s="2" t="n">
        <v>76.91</v>
      </c>
    </row>
    <row r="99" customFormat="false" ht="15" hidden="false" customHeight="false" outlineLevel="0" collapsed="false">
      <c r="A99" s="11" t="n">
        <v>46180</v>
      </c>
      <c r="B99" s="2" t="s">
        <v>285</v>
      </c>
      <c r="C99" s="2" t="s">
        <v>428</v>
      </c>
      <c r="D99" s="2" t="n">
        <v>124</v>
      </c>
      <c r="E99" s="2" t="n">
        <v>34</v>
      </c>
      <c r="F99" s="2" t="n">
        <v>68</v>
      </c>
      <c r="G99" s="2" t="n">
        <v>4321.59</v>
      </c>
      <c r="H99" s="2" t="n">
        <v>254.67</v>
      </c>
      <c r="I99" s="2" t="n">
        <v>4066.92</v>
      </c>
      <c r="J99" s="2" t="n">
        <v>1555.87</v>
      </c>
      <c r="K99" s="2" t="n">
        <v>2511.05</v>
      </c>
      <c r="L99" s="2" t="n">
        <v>119.62</v>
      </c>
    </row>
    <row r="100" customFormat="false" ht="15" hidden="false" customHeight="false" outlineLevel="0" collapsed="false">
      <c r="A100" s="11" t="n">
        <v>46181</v>
      </c>
      <c r="B100" s="2" t="s">
        <v>285</v>
      </c>
      <c r="C100" s="2" t="s">
        <v>422</v>
      </c>
      <c r="D100" s="2" t="n">
        <v>110</v>
      </c>
      <c r="E100" s="2" t="n">
        <v>33</v>
      </c>
      <c r="F100" s="2" t="n">
        <v>41</v>
      </c>
      <c r="G100" s="2" t="n">
        <v>3359.56</v>
      </c>
      <c r="H100" s="2" t="n">
        <v>104.17</v>
      </c>
      <c r="I100" s="2" t="n">
        <v>3255.39</v>
      </c>
      <c r="J100" s="2" t="n">
        <v>1232.7</v>
      </c>
      <c r="K100" s="2" t="n">
        <v>2022.69</v>
      </c>
      <c r="L100" s="2" t="n">
        <v>98.65</v>
      </c>
    </row>
    <row r="101" customFormat="false" ht="15" hidden="false" customHeight="false" outlineLevel="0" collapsed="false">
      <c r="A101" s="11" t="n">
        <v>46182</v>
      </c>
      <c r="B101" s="2" t="s">
        <v>285</v>
      </c>
      <c r="C101" s="2" t="s">
        <v>423</v>
      </c>
      <c r="D101" s="2" t="n">
        <v>225</v>
      </c>
      <c r="E101" s="2" t="n">
        <v>44</v>
      </c>
      <c r="F101" s="2" t="n">
        <v>83</v>
      </c>
      <c r="G101" s="2" t="n">
        <v>3257.1</v>
      </c>
      <c r="H101" s="2" t="n">
        <v>83.46</v>
      </c>
      <c r="I101" s="2" t="n">
        <v>3173.64</v>
      </c>
      <c r="J101" s="2" t="n">
        <v>1226.11</v>
      </c>
      <c r="K101" s="2" t="n">
        <v>1947.53</v>
      </c>
      <c r="L101" s="2" t="n">
        <v>72.13</v>
      </c>
    </row>
    <row r="102" customFormat="false" ht="15" hidden="false" customHeight="false" outlineLevel="0" collapsed="false">
      <c r="A102" s="11" t="n">
        <v>46183</v>
      </c>
      <c r="B102" s="2" t="s">
        <v>285</v>
      </c>
      <c r="C102" s="2" t="s">
        <v>424</v>
      </c>
      <c r="D102" s="2" t="n">
        <v>136</v>
      </c>
      <c r="E102" s="2" t="n">
        <v>39</v>
      </c>
      <c r="F102" s="2" t="n">
        <v>76</v>
      </c>
      <c r="G102" s="2" t="n">
        <v>3674.07</v>
      </c>
      <c r="H102" s="2" t="n">
        <v>74.45</v>
      </c>
      <c r="I102" s="2" t="n">
        <v>3599.62</v>
      </c>
      <c r="J102" s="2" t="n">
        <v>1374.12</v>
      </c>
      <c r="K102" s="2" t="n">
        <v>2225.5</v>
      </c>
      <c r="L102" s="2" t="n">
        <v>92.3</v>
      </c>
    </row>
    <row r="103" customFormat="false" ht="15" hidden="false" customHeight="false" outlineLevel="0" collapsed="false">
      <c r="A103" s="11" t="n">
        <v>46184</v>
      </c>
      <c r="B103" s="2" t="s">
        <v>285</v>
      </c>
      <c r="C103" s="2" t="s">
        <v>425</v>
      </c>
      <c r="D103" s="2" t="n">
        <v>162</v>
      </c>
      <c r="E103" s="2" t="n">
        <v>39</v>
      </c>
      <c r="F103" s="2" t="n">
        <v>81</v>
      </c>
      <c r="G103" s="2" t="n">
        <v>4033.59</v>
      </c>
      <c r="H103" s="2" t="n">
        <v>122.56</v>
      </c>
      <c r="I103" s="2" t="n">
        <v>3911.03</v>
      </c>
      <c r="J103" s="2" t="n">
        <v>1543.49</v>
      </c>
      <c r="K103" s="2" t="n">
        <v>2367.54</v>
      </c>
      <c r="L103" s="2" t="n">
        <v>100.28</v>
      </c>
    </row>
    <row r="104" customFormat="false" ht="15" hidden="false" customHeight="false" outlineLevel="0" collapsed="false">
      <c r="A104" s="11" t="n">
        <v>46185</v>
      </c>
      <c r="B104" s="2" t="s">
        <v>285</v>
      </c>
      <c r="C104" s="2" t="s">
        <v>426</v>
      </c>
      <c r="D104" s="2" t="n">
        <v>221</v>
      </c>
      <c r="E104" s="2" t="n">
        <v>54</v>
      </c>
      <c r="F104" s="2" t="n">
        <v>74</v>
      </c>
      <c r="G104" s="2" t="n">
        <v>5017.83</v>
      </c>
      <c r="H104" s="2" t="n">
        <v>283.16</v>
      </c>
      <c r="I104" s="2" t="n">
        <v>4734.67</v>
      </c>
      <c r="J104" s="2" t="n">
        <v>1803.68</v>
      </c>
      <c r="K104" s="2" t="n">
        <v>2930.99</v>
      </c>
      <c r="L104" s="2" t="n">
        <v>87.68</v>
      </c>
    </row>
    <row r="105" customFormat="false" ht="15" hidden="false" customHeight="false" outlineLevel="0" collapsed="false">
      <c r="A105" s="11" t="n">
        <v>46186</v>
      </c>
      <c r="B105" s="2" t="s">
        <v>285</v>
      </c>
      <c r="C105" s="2" t="s">
        <v>427</v>
      </c>
      <c r="D105" s="2" t="n">
        <v>256</v>
      </c>
      <c r="E105" s="2" t="n">
        <v>70</v>
      </c>
      <c r="F105" s="2" t="n">
        <v>84</v>
      </c>
      <c r="G105" s="2" t="n">
        <v>6816.19</v>
      </c>
      <c r="H105" s="2" t="n">
        <v>335.39</v>
      </c>
      <c r="I105" s="2" t="n">
        <v>6480.8</v>
      </c>
      <c r="J105" s="2" t="n">
        <v>2532.88</v>
      </c>
      <c r="K105" s="2" t="n">
        <v>3947.92</v>
      </c>
      <c r="L105" s="2" t="n">
        <v>92.58</v>
      </c>
    </row>
    <row r="106" customFormat="false" ht="15" hidden="false" customHeight="false" outlineLevel="0" collapsed="false">
      <c r="A106" s="11" t="n">
        <v>46187</v>
      </c>
      <c r="B106" s="2" t="s">
        <v>285</v>
      </c>
      <c r="C106" s="2" t="s">
        <v>428</v>
      </c>
      <c r="D106" s="2" t="n">
        <v>153</v>
      </c>
      <c r="E106" s="2" t="n">
        <v>46</v>
      </c>
      <c r="F106" s="2" t="n">
        <v>62</v>
      </c>
      <c r="G106" s="2" t="n">
        <v>4315.32</v>
      </c>
      <c r="H106" s="2" t="n">
        <v>141.98</v>
      </c>
      <c r="I106" s="2" t="n">
        <v>4173.34</v>
      </c>
      <c r="J106" s="2" t="n">
        <v>1574.23</v>
      </c>
      <c r="K106" s="2" t="n">
        <v>2599.11</v>
      </c>
      <c r="L106" s="2" t="n">
        <v>90.72</v>
      </c>
    </row>
    <row r="107" customFormat="false" ht="15" hidden="false" customHeight="false" outlineLevel="0" collapsed="false">
      <c r="A107" s="11" t="n">
        <v>46188</v>
      </c>
      <c r="B107" s="2" t="s">
        <v>285</v>
      </c>
      <c r="C107" s="2" t="s">
        <v>422</v>
      </c>
      <c r="D107" s="2" t="n">
        <v>131</v>
      </c>
      <c r="E107" s="2" t="n">
        <v>36</v>
      </c>
      <c r="F107" s="2" t="n">
        <v>74</v>
      </c>
      <c r="G107" s="2" t="n">
        <v>3026.38</v>
      </c>
      <c r="H107" s="2" t="n">
        <v>124.25</v>
      </c>
      <c r="I107" s="2" t="n">
        <v>2902.13</v>
      </c>
      <c r="J107" s="2" t="n">
        <v>1088.89</v>
      </c>
      <c r="K107" s="2" t="n">
        <v>1813.24</v>
      </c>
      <c r="L107" s="2" t="n">
        <v>80.61</v>
      </c>
    </row>
    <row r="108" customFormat="false" ht="15" hidden="false" customHeight="false" outlineLevel="0" collapsed="false">
      <c r="A108" s="11" t="n">
        <v>46189</v>
      </c>
      <c r="B108" s="2" t="s">
        <v>285</v>
      </c>
      <c r="C108" s="2" t="s">
        <v>423</v>
      </c>
      <c r="D108" s="2" t="n">
        <v>281</v>
      </c>
      <c r="E108" s="2" t="n">
        <v>52</v>
      </c>
      <c r="F108" s="2" t="n">
        <v>83</v>
      </c>
      <c r="G108" s="2" t="n">
        <v>3528.72</v>
      </c>
      <c r="H108" s="2" t="n">
        <v>87.38</v>
      </c>
      <c r="I108" s="2" t="n">
        <v>3441.34</v>
      </c>
      <c r="J108" s="2" t="n">
        <v>1317.98</v>
      </c>
      <c r="K108" s="2" t="n">
        <v>2123.36</v>
      </c>
      <c r="L108" s="2" t="n">
        <v>66.18</v>
      </c>
    </row>
    <row r="109" customFormat="false" ht="15" hidden="false" customHeight="false" outlineLevel="0" collapsed="false">
      <c r="A109" s="11" t="n">
        <v>46190</v>
      </c>
      <c r="B109" s="2" t="s">
        <v>285</v>
      </c>
      <c r="C109" s="2" t="s">
        <v>424</v>
      </c>
      <c r="D109" s="2" t="n">
        <v>127</v>
      </c>
      <c r="E109" s="2" t="n">
        <v>31</v>
      </c>
      <c r="F109" s="2" t="n">
        <v>49</v>
      </c>
      <c r="G109" s="2" t="n">
        <v>3448.89</v>
      </c>
      <c r="H109" s="2" t="n">
        <v>230.94</v>
      </c>
      <c r="I109" s="2" t="n">
        <v>3217.95</v>
      </c>
      <c r="J109" s="2" t="n">
        <v>1207.79</v>
      </c>
      <c r="K109" s="2" t="n">
        <v>2010.16</v>
      </c>
      <c r="L109" s="2" t="n">
        <v>103.8</v>
      </c>
    </row>
    <row r="110" customFormat="false" ht="15" hidden="false" customHeight="false" outlineLevel="0" collapsed="false">
      <c r="A110" s="11" t="n">
        <v>46191</v>
      </c>
      <c r="B110" s="2" t="s">
        <v>285</v>
      </c>
      <c r="C110" s="2" t="s">
        <v>425</v>
      </c>
      <c r="D110" s="2" t="n">
        <v>105</v>
      </c>
      <c r="E110" s="2" t="n">
        <v>31</v>
      </c>
      <c r="F110" s="2" t="n">
        <v>58</v>
      </c>
      <c r="G110" s="2" t="n">
        <v>4176.91</v>
      </c>
      <c r="H110" s="2" t="n">
        <v>246.41</v>
      </c>
      <c r="I110" s="2" t="n">
        <v>3930.5</v>
      </c>
      <c r="J110" s="2" t="n">
        <v>1483.29</v>
      </c>
      <c r="K110" s="2" t="n">
        <v>2447.21</v>
      </c>
      <c r="L110" s="2" t="n">
        <v>126.79</v>
      </c>
    </row>
    <row r="111" customFormat="false" ht="15" hidden="false" customHeight="false" outlineLevel="0" collapsed="false">
      <c r="A111" s="11" t="n">
        <v>46192</v>
      </c>
      <c r="B111" s="2" t="s">
        <v>285</v>
      </c>
      <c r="C111" s="2" t="s">
        <v>426</v>
      </c>
      <c r="D111" s="2" t="n">
        <v>148</v>
      </c>
      <c r="E111" s="2" t="n">
        <v>42</v>
      </c>
      <c r="F111" s="2" t="n">
        <v>79</v>
      </c>
      <c r="G111" s="2" t="n">
        <v>4928.16</v>
      </c>
      <c r="H111" s="2" t="n">
        <v>147.42</v>
      </c>
      <c r="I111" s="2" t="n">
        <v>4780.74</v>
      </c>
      <c r="J111" s="2" t="n">
        <v>1833.59</v>
      </c>
      <c r="K111" s="2" t="n">
        <v>2947.15</v>
      </c>
      <c r="L111" s="2" t="n">
        <v>113.83</v>
      </c>
    </row>
    <row r="112" customFormat="false" ht="15" hidden="false" customHeight="false" outlineLevel="0" collapsed="false">
      <c r="A112" s="11" t="n">
        <v>46193</v>
      </c>
      <c r="B112" s="2" t="s">
        <v>285</v>
      </c>
      <c r="C112" s="2" t="s">
        <v>427</v>
      </c>
      <c r="D112" s="2" t="n">
        <v>325</v>
      </c>
      <c r="E112" s="2" t="n">
        <v>63</v>
      </c>
      <c r="F112" s="2" t="n">
        <v>126</v>
      </c>
      <c r="G112" s="2" t="n">
        <v>6131.37</v>
      </c>
      <c r="H112" s="2" t="n">
        <v>386.39</v>
      </c>
      <c r="I112" s="2" t="n">
        <v>5744.98</v>
      </c>
      <c r="J112" s="2" t="n">
        <v>2159.35</v>
      </c>
      <c r="K112" s="2" t="n">
        <v>3585.63</v>
      </c>
      <c r="L112" s="2" t="n">
        <v>91.19</v>
      </c>
    </row>
    <row r="113" customFormat="false" ht="15" hidden="false" customHeight="false" outlineLevel="0" collapsed="false">
      <c r="A113" s="11" t="n">
        <v>46194</v>
      </c>
      <c r="B113" s="2" t="s">
        <v>285</v>
      </c>
      <c r="C113" s="2" t="s">
        <v>428</v>
      </c>
      <c r="D113" s="2" t="n">
        <v>180</v>
      </c>
      <c r="E113" s="2" t="n">
        <v>41</v>
      </c>
      <c r="F113" s="2" t="n">
        <v>56</v>
      </c>
      <c r="G113" s="2" t="n">
        <v>4377.8</v>
      </c>
      <c r="H113" s="2" t="n">
        <v>260.19</v>
      </c>
      <c r="I113" s="2" t="n">
        <v>4117.61</v>
      </c>
      <c r="J113" s="2" t="n">
        <v>1598.81</v>
      </c>
      <c r="K113" s="2" t="n">
        <v>2518.8</v>
      </c>
      <c r="L113" s="2" t="n">
        <v>100.43</v>
      </c>
    </row>
    <row r="114" customFormat="false" ht="15" hidden="false" customHeight="false" outlineLevel="0" collapsed="false">
      <c r="A114" s="11" t="n">
        <v>46195</v>
      </c>
      <c r="B114" s="2" t="s">
        <v>285</v>
      </c>
      <c r="C114" s="2" t="s">
        <v>422</v>
      </c>
      <c r="D114" s="2" t="n">
        <v>127</v>
      </c>
      <c r="E114" s="2" t="n">
        <v>32</v>
      </c>
      <c r="F114" s="2" t="n">
        <v>58</v>
      </c>
      <c r="G114" s="2" t="n">
        <v>3131.88</v>
      </c>
      <c r="H114" s="2" t="n">
        <v>208.09</v>
      </c>
      <c r="I114" s="2" t="n">
        <v>2923.79</v>
      </c>
      <c r="J114" s="2" t="n">
        <v>1154.06</v>
      </c>
      <c r="K114" s="2" t="n">
        <v>1769.73</v>
      </c>
      <c r="L114" s="2" t="n">
        <v>91.37</v>
      </c>
    </row>
    <row r="115" customFormat="false" ht="15" hidden="false" customHeight="false" outlineLevel="0" collapsed="false">
      <c r="A115" s="11" t="n">
        <v>46196</v>
      </c>
      <c r="B115" s="2" t="s">
        <v>285</v>
      </c>
      <c r="C115" s="2" t="s">
        <v>423</v>
      </c>
      <c r="D115" s="2" t="n">
        <v>118</v>
      </c>
      <c r="E115" s="2" t="n">
        <v>31</v>
      </c>
      <c r="F115" s="2" t="n">
        <v>51</v>
      </c>
      <c r="G115" s="2" t="n">
        <v>3679.83</v>
      </c>
      <c r="H115" s="2" t="n">
        <v>95.12</v>
      </c>
      <c r="I115" s="2" t="n">
        <v>3584.71</v>
      </c>
      <c r="J115" s="2" t="n">
        <v>1407.73</v>
      </c>
      <c r="K115" s="2" t="n">
        <v>2176.98</v>
      </c>
      <c r="L115" s="2" t="n">
        <v>115.64</v>
      </c>
    </row>
    <row r="116" customFormat="false" ht="15" hidden="false" customHeight="false" outlineLevel="0" collapsed="false">
      <c r="A116" s="11" t="n">
        <v>46197</v>
      </c>
      <c r="B116" s="2" t="s">
        <v>285</v>
      </c>
      <c r="C116" s="2" t="s">
        <v>424</v>
      </c>
      <c r="D116" s="2" t="n">
        <v>168</v>
      </c>
      <c r="E116" s="2" t="n">
        <v>36</v>
      </c>
      <c r="F116" s="2" t="n">
        <v>68</v>
      </c>
      <c r="G116" s="2" t="n">
        <v>3925.57</v>
      </c>
      <c r="H116" s="2" t="n">
        <v>115.72</v>
      </c>
      <c r="I116" s="2" t="n">
        <v>3809.85</v>
      </c>
      <c r="J116" s="2" t="n">
        <v>1470.87</v>
      </c>
      <c r="K116" s="2" t="n">
        <v>2338.98</v>
      </c>
      <c r="L116" s="2" t="n">
        <v>105.83</v>
      </c>
    </row>
    <row r="117" customFormat="false" ht="15" hidden="false" customHeight="false" outlineLevel="0" collapsed="false">
      <c r="A117" s="11" t="n">
        <v>46198</v>
      </c>
      <c r="B117" s="2" t="s">
        <v>285</v>
      </c>
      <c r="C117" s="2" t="s">
        <v>425</v>
      </c>
      <c r="D117" s="2" t="n">
        <v>209</v>
      </c>
      <c r="E117" s="2" t="n">
        <v>38</v>
      </c>
      <c r="F117" s="2" t="n">
        <v>70</v>
      </c>
      <c r="G117" s="2" t="n">
        <v>3874.34</v>
      </c>
      <c r="H117" s="2" t="n">
        <v>250.73</v>
      </c>
      <c r="I117" s="2" t="n">
        <v>3623.61</v>
      </c>
      <c r="J117" s="2" t="n">
        <v>1416.25</v>
      </c>
      <c r="K117" s="2" t="n">
        <v>2207.36</v>
      </c>
      <c r="L117" s="2" t="n">
        <v>95.36</v>
      </c>
    </row>
    <row r="118" customFormat="false" ht="15" hidden="false" customHeight="false" outlineLevel="0" collapsed="false">
      <c r="A118" s="11" t="n">
        <v>46199</v>
      </c>
      <c r="B118" s="2" t="s">
        <v>285</v>
      </c>
      <c r="C118" s="2" t="s">
        <v>426</v>
      </c>
      <c r="D118" s="2" t="n">
        <v>190</v>
      </c>
      <c r="E118" s="2" t="n">
        <v>55</v>
      </c>
      <c r="F118" s="2" t="n">
        <v>110</v>
      </c>
      <c r="G118" s="2" t="n">
        <v>5395.14</v>
      </c>
      <c r="H118" s="2" t="n">
        <v>343.01</v>
      </c>
      <c r="I118" s="2" t="n">
        <v>5052.13</v>
      </c>
      <c r="J118" s="2" t="n">
        <v>1974.48</v>
      </c>
      <c r="K118" s="2" t="n">
        <v>3077.65</v>
      </c>
      <c r="L118" s="2" t="n">
        <v>91.86</v>
      </c>
    </row>
    <row r="119" customFormat="false" ht="15" hidden="false" customHeight="false" outlineLevel="0" collapsed="false">
      <c r="A119" s="11" t="n">
        <v>46200</v>
      </c>
      <c r="B119" s="2" t="s">
        <v>285</v>
      </c>
      <c r="C119" s="2" t="s">
        <v>427</v>
      </c>
      <c r="D119" s="2" t="n">
        <v>367</v>
      </c>
      <c r="E119" s="2" t="n">
        <v>68</v>
      </c>
      <c r="F119" s="2" t="n">
        <v>100</v>
      </c>
      <c r="G119" s="2" t="n">
        <v>6633.08</v>
      </c>
      <c r="H119" s="2" t="n">
        <v>414.13</v>
      </c>
      <c r="I119" s="2" t="n">
        <v>6218.95</v>
      </c>
      <c r="J119" s="2" t="n">
        <v>2404.7</v>
      </c>
      <c r="K119" s="2" t="n">
        <v>3814.25</v>
      </c>
      <c r="L119" s="2" t="n">
        <v>91.46</v>
      </c>
    </row>
    <row r="120" customFormat="false" ht="15" hidden="false" customHeight="false" outlineLevel="0" collapsed="false">
      <c r="A120" s="11" t="n">
        <v>46201</v>
      </c>
      <c r="B120" s="2" t="s">
        <v>285</v>
      </c>
      <c r="C120" s="2" t="s">
        <v>428</v>
      </c>
      <c r="D120" s="2" t="n">
        <v>179</v>
      </c>
      <c r="E120" s="2" t="n">
        <v>52</v>
      </c>
      <c r="F120" s="2" t="n">
        <v>79</v>
      </c>
      <c r="G120" s="2" t="n">
        <v>5048.24</v>
      </c>
      <c r="H120" s="2" t="n">
        <v>187.5</v>
      </c>
      <c r="I120" s="2" t="n">
        <v>4860.74</v>
      </c>
      <c r="J120" s="2" t="n">
        <v>1839.92</v>
      </c>
      <c r="K120" s="2" t="n">
        <v>3020.82</v>
      </c>
      <c r="L120" s="2" t="n">
        <v>93.48</v>
      </c>
    </row>
    <row r="121" customFormat="false" ht="15" hidden="false" customHeight="false" outlineLevel="0" collapsed="false">
      <c r="A121" s="11" t="n">
        <v>46202</v>
      </c>
      <c r="B121" s="2" t="s">
        <v>285</v>
      </c>
      <c r="C121" s="2" t="s">
        <v>422</v>
      </c>
      <c r="D121" s="2" t="n">
        <v>153</v>
      </c>
      <c r="E121" s="2" t="n">
        <v>28</v>
      </c>
      <c r="F121" s="2" t="n">
        <v>38</v>
      </c>
      <c r="G121" s="2" t="n">
        <v>3467.41</v>
      </c>
      <c r="H121" s="2" t="n">
        <v>126.24</v>
      </c>
      <c r="I121" s="2" t="n">
        <v>3341.17</v>
      </c>
      <c r="J121" s="2" t="n">
        <v>1305.56</v>
      </c>
      <c r="K121" s="2" t="n">
        <v>2035.61</v>
      </c>
      <c r="L121" s="2" t="n">
        <v>119.33</v>
      </c>
    </row>
    <row r="122" customFormat="false" ht="15" hidden="false" customHeight="false" outlineLevel="0" collapsed="false">
      <c r="A122" s="11" t="n">
        <v>46203</v>
      </c>
      <c r="B122" s="2" t="s">
        <v>285</v>
      </c>
      <c r="C122" s="2" t="s">
        <v>423</v>
      </c>
      <c r="D122" s="2" t="n">
        <v>157</v>
      </c>
      <c r="E122" s="2" t="n">
        <v>31</v>
      </c>
      <c r="F122" s="2" t="n">
        <v>38</v>
      </c>
      <c r="G122" s="2" t="n">
        <v>3216.85</v>
      </c>
      <c r="H122" s="2" t="n">
        <v>87.25</v>
      </c>
      <c r="I122" s="2" t="n">
        <v>3129.6</v>
      </c>
      <c r="J122" s="2" t="n">
        <v>1231.33</v>
      </c>
      <c r="K122" s="2" t="n">
        <v>1898.27</v>
      </c>
      <c r="L122" s="2" t="n">
        <v>100.95</v>
      </c>
    </row>
    <row r="123" customFormat="false" ht="15" hidden="false" customHeight="false" outlineLevel="0" collapsed="false">
      <c r="A123" s="11" t="n">
        <v>46204</v>
      </c>
      <c r="B123" s="2" t="s">
        <v>285</v>
      </c>
      <c r="C123" s="2" t="s">
        <v>424</v>
      </c>
      <c r="D123" s="2" t="n">
        <v>231</v>
      </c>
      <c r="E123" s="2" t="n">
        <v>45</v>
      </c>
      <c r="F123" s="2" t="n">
        <v>79</v>
      </c>
      <c r="G123" s="2" t="n">
        <v>3980.51</v>
      </c>
      <c r="H123" s="2" t="n">
        <v>81.06</v>
      </c>
      <c r="I123" s="2" t="n">
        <v>3899.45</v>
      </c>
      <c r="J123" s="2" t="n">
        <v>1502.34</v>
      </c>
      <c r="K123" s="2" t="n">
        <v>2397.11</v>
      </c>
      <c r="L123" s="2" t="n">
        <v>86.65</v>
      </c>
    </row>
    <row r="124" customFormat="false" ht="15" hidden="false" customHeight="false" outlineLevel="0" collapsed="false">
      <c r="A124" s="11" t="n">
        <v>46205</v>
      </c>
      <c r="B124" s="2" t="s">
        <v>285</v>
      </c>
      <c r="C124" s="2" t="s">
        <v>425</v>
      </c>
      <c r="D124" s="2" t="n">
        <v>279</v>
      </c>
      <c r="E124" s="2" t="n">
        <v>54</v>
      </c>
      <c r="F124" s="2" t="n">
        <v>98</v>
      </c>
      <c r="G124" s="2" t="n">
        <v>4442.69</v>
      </c>
      <c r="H124" s="2" t="n">
        <v>177.34</v>
      </c>
      <c r="I124" s="2" t="n">
        <v>4265.35</v>
      </c>
      <c r="J124" s="2" t="n">
        <v>1672.58</v>
      </c>
      <c r="K124" s="2" t="n">
        <v>2592.77</v>
      </c>
      <c r="L124" s="2" t="n">
        <v>78.99</v>
      </c>
    </row>
    <row r="125" customFormat="false" ht="15" hidden="false" customHeight="false" outlineLevel="0" collapsed="false">
      <c r="A125" s="11" t="n">
        <v>46206</v>
      </c>
      <c r="B125" s="2" t="s">
        <v>285</v>
      </c>
      <c r="C125" s="2" t="s">
        <v>426</v>
      </c>
      <c r="D125" s="2" t="n">
        <v>174</v>
      </c>
      <c r="E125" s="2" t="n">
        <v>39</v>
      </c>
      <c r="F125" s="2" t="n">
        <v>80</v>
      </c>
      <c r="G125" s="2" t="n">
        <v>5096.65</v>
      </c>
      <c r="H125" s="2" t="n">
        <v>199.62</v>
      </c>
      <c r="I125" s="2" t="n">
        <v>4897.03</v>
      </c>
      <c r="J125" s="2" t="n">
        <v>1873.43</v>
      </c>
      <c r="K125" s="2" t="n">
        <v>3023.6</v>
      </c>
      <c r="L125" s="2" t="n">
        <v>125.56</v>
      </c>
    </row>
    <row r="126" customFormat="false" ht="15" hidden="false" customHeight="false" outlineLevel="0" collapsed="false">
      <c r="A126" s="11" t="n">
        <v>46207</v>
      </c>
      <c r="B126" s="2" t="s">
        <v>285</v>
      </c>
      <c r="C126" s="2" t="s">
        <v>427</v>
      </c>
      <c r="D126" s="2" t="n">
        <v>279</v>
      </c>
      <c r="E126" s="2" t="n">
        <v>61</v>
      </c>
      <c r="F126" s="2" t="n">
        <v>117</v>
      </c>
      <c r="G126" s="2" t="n">
        <v>5832.32</v>
      </c>
      <c r="H126" s="2" t="n">
        <v>243.08</v>
      </c>
      <c r="I126" s="2" t="n">
        <v>5589.24</v>
      </c>
      <c r="J126" s="2" t="n">
        <v>2200.38</v>
      </c>
      <c r="K126" s="2" t="n">
        <v>3388.86</v>
      </c>
      <c r="L126" s="2" t="n">
        <v>91.63</v>
      </c>
    </row>
    <row r="127" customFormat="false" ht="15" hidden="false" customHeight="false" outlineLevel="0" collapsed="false">
      <c r="A127" s="11" t="n">
        <v>46208</v>
      </c>
      <c r="B127" s="2" t="s">
        <v>285</v>
      </c>
      <c r="C127" s="2" t="s">
        <v>428</v>
      </c>
      <c r="D127" s="2" t="n">
        <v>246</v>
      </c>
      <c r="E127" s="2" t="n">
        <v>57</v>
      </c>
      <c r="F127" s="2" t="n">
        <v>68</v>
      </c>
      <c r="G127" s="2" t="n">
        <v>5018.37</v>
      </c>
      <c r="H127" s="2" t="n">
        <v>148.57</v>
      </c>
      <c r="I127" s="2" t="n">
        <v>4869.8</v>
      </c>
      <c r="J127" s="2" t="n">
        <v>1847.23</v>
      </c>
      <c r="K127" s="2" t="n">
        <v>3022.57</v>
      </c>
      <c r="L127" s="2" t="n">
        <v>85.44</v>
      </c>
    </row>
    <row r="128" customFormat="false" ht="15" hidden="false" customHeight="false" outlineLevel="0" collapsed="false">
      <c r="A128" s="11" t="n">
        <v>46209</v>
      </c>
      <c r="B128" s="2" t="s">
        <v>285</v>
      </c>
      <c r="C128" s="2" t="s">
        <v>422</v>
      </c>
      <c r="D128" s="2" t="n">
        <v>152</v>
      </c>
      <c r="E128" s="2" t="n">
        <v>34</v>
      </c>
      <c r="F128" s="2" t="n">
        <v>54</v>
      </c>
      <c r="G128" s="2" t="n">
        <v>3556.51</v>
      </c>
      <c r="H128" s="2" t="n">
        <v>227.58</v>
      </c>
      <c r="I128" s="2" t="n">
        <v>3328.93</v>
      </c>
      <c r="J128" s="2" t="n">
        <v>1301.65</v>
      </c>
      <c r="K128" s="2" t="n">
        <v>2027.28</v>
      </c>
      <c r="L128" s="2" t="n">
        <v>97.91</v>
      </c>
    </row>
    <row r="129" customFormat="false" ht="15" hidden="false" customHeight="false" outlineLevel="0" collapsed="false">
      <c r="A129" s="11" t="n">
        <v>46210</v>
      </c>
      <c r="B129" s="2" t="s">
        <v>285</v>
      </c>
      <c r="C129" s="2" t="s">
        <v>423</v>
      </c>
      <c r="D129" s="2" t="n">
        <v>107</v>
      </c>
      <c r="E129" s="2" t="n">
        <v>29</v>
      </c>
      <c r="F129" s="2" t="n">
        <v>56</v>
      </c>
      <c r="G129" s="2" t="n">
        <v>3164.74</v>
      </c>
      <c r="H129" s="2" t="n">
        <v>144.93</v>
      </c>
      <c r="I129" s="2" t="n">
        <v>3019.81</v>
      </c>
      <c r="J129" s="2" t="n">
        <v>1156.85</v>
      </c>
      <c r="K129" s="2" t="n">
        <v>1862.96</v>
      </c>
      <c r="L129" s="2" t="n">
        <v>104.13</v>
      </c>
    </row>
    <row r="130" customFormat="false" ht="15" hidden="false" customHeight="false" outlineLevel="0" collapsed="false">
      <c r="A130" s="11" t="n">
        <v>46211</v>
      </c>
      <c r="B130" s="2" t="s">
        <v>285</v>
      </c>
      <c r="C130" s="2" t="s">
        <v>424</v>
      </c>
      <c r="D130" s="2" t="n">
        <v>227</v>
      </c>
      <c r="E130" s="2" t="n">
        <v>66</v>
      </c>
      <c r="F130" s="2" t="n">
        <v>85</v>
      </c>
      <c r="G130" s="2" t="n">
        <v>3967.56</v>
      </c>
      <c r="H130" s="2" t="n">
        <v>87.81</v>
      </c>
      <c r="I130" s="2" t="n">
        <v>3879.75</v>
      </c>
      <c r="J130" s="2" t="n">
        <v>1459.06</v>
      </c>
      <c r="K130" s="2" t="n">
        <v>2420.69</v>
      </c>
      <c r="L130" s="2" t="n">
        <v>58.78</v>
      </c>
    </row>
    <row r="131" customFormat="false" ht="15" hidden="false" customHeight="false" outlineLevel="0" collapsed="false">
      <c r="A131" s="11" t="n">
        <v>46212</v>
      </c>
      <c r="B131" s="2" t="s">
        <v>285</v>
      </c>
      <c r="C131" s="2" t="s">
        <v>425</v>
      </c>
      <c r="D131" s="2" t="n">
        <v>201</v>
      </c>
      <c r="E131" s="2" t="n">
        <v>40</v>
      </c>
      <c r="F131" s="2" t="n">
        <v>71</v>
      </c>
      <c r="G131" s="2" t="n">
        <v>4073.36</v>
      </c>
      <c r="H131" s="2" t="n">
        <v>252.03</v>
      </c>
      <c r="I131" s="2" t="n">
        <v>3821.33</v>
      </c>
      <c r="J131" s="2" t="n">
        <v>1508.31</v>
      </c>
      <c r="K131" s="2" t="n">
        <v>2313.02</v>
      </c>
      <c r="L131" s="2" t="n">
        <v>95.53</v>
      </c>
    </row>
    <row r="132" customFormat="false" ht="15" hidden="false" customHeight="false" outlineLevel="0" collapsed="false">
      <c r="A132" s="11" t="n">
        <v>46213</v>
      </c>
      <c r="B132" s="2" t="s">
        <v>285</v>
      </c>
      <c r="C132" s="2" t="s">
        <v>426</v>
      </c>
      <c r="D132" s="2" t="n">
        <v>349</v>
      </c>
      <c r="E132" s="2" t="n">
        <v>81</v>
      </c>
      <c r="F132" s="2" t="n">
        <v>102</v>
      </c>
      <c r="G132" s="2" t="n">
        <v>5739.43</v>
      </c>
      <c r="H132" s="2" t="n">
        <v>167.78</v>
      </c>
      <c r="I132" s="2" t="n">
        <v>5571.65</v>
      </c>
      <c r="J132" s="2" t="n">
        <v>2120.99</v>
      </c>
      <c r="K132" s="2" t="n">
        <v>3450.66</v>
      </c>
      <c r="L132" s="2" t="n">
        <v>68.79</v>
      </c>
    </row>
    <row r="133" customFormat="false" ht="15" hidden="false" customHeight="false" outlineLevel="0" collapsed="false">
      <c r="A133" s="11" t="n">
        <v>46214</v>
      </c>
      <c r="B133" s="2" t="s">
        <v>285</v>
      </c>
      <c r="C133" s="2" t="s">
        <v>427</v>
      </c>
      <c r="D133" s="2" t="n">
        <v>351</v>
      </c>
      <c r="E133" s="2" t="n">
        <v>67</v>
      </c>
      <c r="F133" s="2" t="n">
        <v>101</v>
      </c>
      <c r="G133" s="2" t="n">
        <v>6012.79</v>
      </c>
      <c r="H133" s="2" t="n">
        <v>342.04</v>
      </c>
      <c r="I133" s="2" t="n">
        <v>5670.75</v>
      </c>
      <c r="J133" s="2" t="n">
        <v>2221.2</v>
      </c>
      <c r="K133" s="2" t="n">
        <v>3449.55</v>
      </c>
      <c r="L133" s="2" t="n">
        <v>84.64</v>
      </c>
    </row>
    <row r="134" customFormat="false" ht="15" hidden="false" customHeight="false" outlineLevel="0" collapsed="false">
      <c r="A134" s="11" t="n">
        <v>46215</v>
      </c>
      <c r="B134" s="2" t="s">
        <v>285</v>
      </c>
      <c r="C134" s="2" t="s">
        <v>428</v>
      </c>
      <c r="D134" s="2" t="n">
        <v>349</v>
      </c>
      <c r="E134" s="2" t="n">
        <v>69</v>
      </c>
      <c r="F134" s="2" t="n">
        <v>91</v>
      </c>
      <c r="G134" s="2" t="n">
        <v>4988.02</v>
      </c>
      <c r="H134" s="2" t="n">
        <v>329.22</v>
      </c>
      <c r="I134" s="2" t="n">
        <v>4658.8</v>
      </c>
      <c r="J134" s="2" t="n">
        <v>1751.51</v>
      </c>
      <c r="K134" s="2" t="n">
        <v>2907.29</v>
      </c>
      <c r="L134" s="2" t="n">
        <v>67.52</v>
      </c>
    </row>
    <row r="135" customFormat="false" ht="15" hidden="false" customHeight="false" outlineLevel="0" collapsed="false">
      <c r="A135" s="11" t="n">
        <v>46216</v>
      </c>
      <c r="B135" s="2" t="s">
        <v>285</v>
      </c>
      <c r="C135" s="2" t="s">
        <v>422</v>
      </c>
      <c r="D135" s="2" t="n">
        <v>164</v>
      </c>
      <c r="E135" s="2" t="n">
        <v>34</v>
      </c>
      <c r="F135" s="2" t="n">
        <v>64</v>
      </c>
      <c r="G135" s="2" t="n">
        <v>3621.24</v>
      </c>
      <c r="H135" s="2" t="n">
        <v>216.24</v>
      </c>
      <c r="I135" s="2" t="n">
        <v>3405</v>
      </c>
      <c r="J135" s="2" t="n">
        <v>1340.97</v>
      </c>
      <c r="K135" s="2" t="n">
        <v>2064.03</v>
      </c>
      <c r="L135" s="2" t="n">
        <v>100.15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9"/>
    <col collapsed="false" customWidth="true" hidden="false" outlineLevel="0" max="6" min="6" style="0" width="13"/>
    <col collapsed="false" customWidth="true" hidden="false" outlineLevel="0" max="7" min="7" style="0" width="8"/>
    <col collapsed="false" customWidth="true" hidden="false" outlineLevel="0" max="8" min="8" style="0" width="10"/>
    <col collapsed="false" customWidth="true" hidden="false" outlineLevel="0" max="9" min="9" style="0" width="12"/>
    <col collapsed="false" customWidth="true" hidden="false" outlineLevel="0" max="10" min="10" style="0" width="11"/>
  </cols>
  <sheetData>
    <row r="1" customFormat="false" ht="17.35" hidden="false" customHeight="false" outlineLevel="0" collapsed="false">
      <c r="A1" s="1" t="s">
        <v>429</v>
      </c>
    </row>
    <row r="2" customFormat="false" ht="15" hidden="false" customHeight="false" outlineLevel="0" collapsed="false">
      <c r="A2" s="2" t="s">
        <v>430</v>
      </c>
    </row>
    <row r="3" customFormat="false" ht="15" hidden="false" customHeight="false" outlineLevel="0" collapsed="false">
      <c r="A3" s="12" t="s">
        <v>431</v>
      </c>
      <c r="C3" s="13" t="n">
        <v>46252</v>
      </c>
    </row>
    <row r="5" customFormat="false" ht="23.85" hidden="false" customHeight="false" outlineLevel="0" collapsed="false">
      <c r="A5" s="4" t="s">
        <v>54</v>
      </c>
      <c r="B5" s="4" t="s">
        <v>432</v>
      </c>
      <c r="C5" s="4" t="s">
        <v>257</v>
      </c>
      <c r="D5" s="4" t="s">
        <v>433</v>
      </c>
      <c r="E5" s="4" t="s">
        <v>434</v>
      </c>
      <c r="F5" s="4" t="s">
        <v>435</v>
      </c>
      <c r="G5" s="4" t="s">
        <v>436</v>
      </c>
      <c r="H5" s="4" t="s">
        <v>437</v>
      </c>
      <c r="I5" s="4" t="s">
        <v>438</v>
      </c>
      <c r="J5" s="4" t="s">
        <v>439</v>
      </c>
    </row>
    <row r="6" customFormat="false" ht="15" hidden="false" customHeight="false" outlineLevel="0" collapsed="false">
      <c r="A6" s="14" t="s">
        <v>267</v>
      </c>
      <c r="B6" s="14" t="s">
        <v>255</v>
      </c>
      <c r="C6" s="14" t="n">
        <f aca="false">COUNTIFS('Shipments Data'!$D$2:$D$97,$A6,'Shipments Data'!$J$2:$J$97,"Received")</f>
        <v>12</v>
      </c>
      <c r="D6" s="14" t="n">
        <f aca="false">COUNTIFS('Shipments Data'!$D$2:$D$97,$A6,'Shipments Data'!$J$2:$J$97,"Received",'Shipments Data'!$K$2:$K$97,"&gt;0")</f>
        <v>12</v>
      </c>
      <c r="E6" s="15" t="n">
        <f aca="false">D6/C6</f>
        <v>1</v>
      </c>
      <c r="F6" s="16" t="n">
        <f aca="false">AVERAGEIFS('Shipments Data'!$K$2:$K$97,'Shipments Data'!$D$2:$D$97,$A6,'Shipments Data'!$J$2:$J$97,"Received")</f>
        <v>12.0833333333333</v>
      </c>
      <c r="G6" s="14" t="n">
        <f aca="false">_xlfn.MAXIFS('Shipments Data'!$K$2:$K$97,'Shipments Data'!$D$2:$D$97,$A6,'Shipments Data'!$J$2:$J$97,"Received")</f>
        <v>19</v>
      </c>
      <c r="H6" s="14" t="n">
        <f aca="false">COUNTIFS('Shipments Data'!$D$2:$D$97,$A6,'Shipments Data'!$J$2:$J$97,"In transit")</f>
        <v>3</v>
      </c>
      <c r="I6" s="14" t="n">
        <f aca="false">COUNTIFS('Shipments Data'!$D$2:$D$97,$A6,'Shipments Data'!$J$2:$J$97,"In transit",'Shipments Data'!$H$2:$H$97,"&lt;"&amp;$C$3)</f>
        <v>2</v>
      </c>
      <c r="J6" s="17" t="str">
        <f aca="false">IF(F6&gt;3,"At risk","Reliable")</f>
        <v>At risk</v>
      </c>
    </row>
    <row r="7" customFormat="false" ht="15" hidden="false" customHeight="false" outlineLevel="0" collapsed="false">
      <c r="A7" s="14" t="s">
        <v>254</v>
      </c>
      <c r="B7" s="14" t="s">
        <v>255</v>
      </c>
      <c r="C7" s="14" t="n">
        <f aca="false">COUNTIFS('Shipments Data'!$D$2:$D$97,$A7,'Shipments Data'!$J$2:$J$97,"Received")</f>
        <v>17</v>
      </c>
      <c r="D7" s="14" t="n">
        <f aca="false">COUNTIFS('Shipments Data'!$D$2:$D$97,$A7,'Shipments Data'!$J$2:$J$97,"Received",'Shipments Data'!$K$2:$K$97,"&gt;0")</f>
        <v>17</v>
      </c>
      <c r="E7" s="15" t="n">
        <f aca="false">D7/C7</f>
        <v>1</v>
      </c>
      <c r="F7" s="16" t="n">
        <f aca="false">AVERAGEIFS('Shipments Data'!$K$2:$K$97,'Shipments Data'!$D$2:$D$97,$A7,'Shipments Data'!$J$2:$J$97,"Received")</f>
        <v>6.94117647058824</v>
      </c>
      <c r="G7" s="14" t="n">
        <f aca="false">_xlfn.MAXIFS('Shipments Data'!$K$2:$K$97,'Shipments Data'!$D$2:$D$97,$A7,'Shipments Data'!$J$2:$J$97,"Received")</f>
        <v>12</v>
      </c>
      <c r="H7" s="14" t="n">
        <f aca="false">COUNTIFS('Shipments Data'!$D$2:$D$97,$A7,'Shipments Data'!$J$2:$J$97,"In transit")</f>
        <v>9</v>
      </c>
      <c r="I7" s="14" t="n">
        <f aca="false">COUNTIFS('Shipments Data'!$D$2:$D$97,$A7,'Shipments Data'!$J$2:$J$97,"In transit",'Shipments Data'!$H$2:$H$97,"&lt;"&amp;$C$3)</f>
        <v>9</v>
      </c>
      <c r="J7" s="17" t="str">
        <f aca="false">IF(F7&gt;3,"At risk","Reliable")</f>
        <v>At risk</v>
      </c>
    </row>
    <row r="8" customFormat="false" ht="15" hidden="false" customHeight="false" outlineLevel="0" collapsed="false">
      <c r="A8" s="18" t="s">
        <v>275</v>
      </c>
      <c r="B8" s="18" t="s">
        <v>276</v>
      </c>
      <c r="C8" s="18" t="n">
        <f aca="false">COUNTIFS('Shipments Data'!$D$2:$D$97,$A8,'Shipments Data'!$J$2:$J$97,"Received")</f>
        <v>28</v>
      </c>
      <c r="D8" s="18" t="n">
        <f aca="false">COUNTIFS('Shipments Data'!$D$2:$D$97,$A8,'Shipments Data'!$J$2:$J$97,"Received",'Shipments Data'!$K$2:$K$97,"&gt;0")</f>
        <v>16</v>
      </c>
      <c r="E8" s="19" t="n">
        <f aca="false">D8/C8</f>
        <v>0.571428571428571</v>
      </c>
      <c r="F8" s="20" t="n">
        <f aca="false">AVERAGEIFS('Shipments Data'!$K$2:$K$97,'Shipments Data'!$D$2:$D$97,$A8,'Shipments Data'!$J$2:$J$97,"Received")</f>
        <v>0.75</v>
      </c>
      <c r="G8" s="18" t="n">
        <f aca="false">_xlfn.MAXIFS('Shipments Data'!$K$2:$K$97,'Shipments Data'!$D$2:$D$97,$A8,'Shipments Data'!$J$2:$J$97,"Received")</f>
        <v>2</v>
      </c>
      <c r="H8" s="18" t="n">
        <f aca="false">COUNTIFS('Shipments Data'!$D$2:$D$97,$A8,'Shipments Data'!$J$2:$J$97,"In transit")</f>
        <v>4</v>
      </c>
      <c r="I8" s="18" t="n">
        <f aca="false">COUNTIFS('Shipments Data'!$D$2:$D$97,$A8,'Shipments Data'!$J$2:$J$97,"In transit",'Shipments Data'!$H$2:$H$97,"&lt;"&amp;$C$3)</f>
        <v>4</v>
      </c>
      <c r="J8" s="21" t="str">
        <f aca="false">IF(F8&gt;3,"At risk","Reliable")</f>
        <v>Reliable</v>
      </c>
    </row>
    <row r="9" customFormat="false" ht="15" hidden="false" customHeight="false" outlineLevel="0" collapsed="false">
      <c r="A9" s="18" t="s">
        <v>261</v>
      </c>
      <c r="B9" s="18" t="s">
        <v>262</v>
      </c>
      <c r="C9" s="18" t="n">
        <f aca="false">COUNTIFS('Shipments Data'!$D$2:$D$97,$A9,'Shipments Data'!$J$2:$J$97,"Received")</f>
        <v>23</v>
      </c>
      <c r="D9" s="18" t="n">
        <f aca="false">COUNTIFS('Shipments Data'!$D$2:$D$97,$A9,'Shipments Data'!$J$2:$J$97,"Received",'Shipments Data'!$K$2:$K$97,"&gt;0")</f>
        <v>12</v>
      </c>
      <c r="E9" s="19" t="n">
        <f aca="false">D9/C9</f>
        <v>0.521739130434783</v>
      </c>
      <c r="F9" s="20" t="n">
        <f aca="false">AVERAGEIFS('Shipments Data'!$K$2:$K$97,'Shipments Data'!$D$2:$D$97,$A9,'Shipments Data'!$J$2:$J$97,"Received")</f>
        <v>0.521739130434783</v>
      </c>
      <c r="G9" s="18" t="n">
        <f aca="false">_xlfn.MAXIFS('Shipments Data'!$K$2:$K$97,'Shipments Data'!$D$2:$D$97,$A9,'Shipments Data'!$J$2:$J$97,"Received")</f>
        <v>1</v>
      </c>
      <c r="H9" s="18" t="n">
        <f aca="false">COUNTIFS('Shipments Data'!$D$2:$D$97,$A9,'Shipments Data'!$J$2:$J$97,"In transit")</f>
        <v>0</v>
      </c>
      <c r="I9" s="18" t="n">
        <f aca="false">COUNTIFS('Shipments Data'!$D$2:$D$97,$A9,'Shipments Data'!$J$2:$J$97,"In transit",'Shipments Data'!$H$2:$H$97,"&lt;"&amp;$C$3)</f>
        <v>0</v>
      </c>
      <c r="J9" s="21" t="str">
        <f aca="false">IF(F9&gt;3,"At risk","Reliable")</f>
        <v>Reliable</v>
      </c>
    </row>
    <row r="11" customFormat="false" ht="15" hidden="false" customHeight="false" outlineLevel="0" collapsed="false">
      <c r="A11" s="22" t="s">
        <v>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58"/>
  </cols>
  <sheetData>
    <row r="1" customFormat="false" ht="17.35" hidden="false" customHeight="false" outlineLevel="0" collapsed="false">
      <c r="A1" s="1" t="s">
        <v>441</v>
      </c>
    </row>
    <row r="2" customFormat="false" ht="15" hidden="false" customHeight="false" outlineLevel="0" collapsed="false">
      <c r="A2" s="2" t="s">
        <v>442</v>
      </c>
    </row>
    <row r="4" customFormat="false" ht="15" hidden="false" customHeight="false" outlineLevel="0" collapsed="false">
      <c r="A4" s="4" t="s">
        <v>443</v>
      </c>
      <c r="B4" s="4" t="s">
        <v>444</v>
      </c>
      <c r="C4" s="4" t="s">
        <v>445</v>
      </c>
    </row>
    <row r="5" customFormat="false" ht="15" hidden="false" customHeight="false" outlineLevel="0" collapsed="false">
      <c r="A5" s="5" t="s">
        <v>446</v>
      </c>
      <c r="B5" s="5" t="n">
        <f aca="false">COUNT('Austin Daily'!G2:G135)</f>
        <v>134</v>
      </c>
      <c r="C5" s="5" t="s">
        <v>447</v>
      </c>
    </row>
    <row r="6" customFormat="false" ht="15" hidden="false" customHeight="false" outlineLevel="0" collapsed="false">
      <c r="A6" s="6" t="s">
        <v>448</v>
      </c>
      <c r="B6" s="23" t="n">
        <f aca="false">SUM('Austin Daily'!I2:I135)</f>
        <v>668763.15</v>
      </c>
      <c r="C6" s="6" t="s">
        <v>449</v>
      </c>
    </row>
    <row r="7" customFormat="false" ht="15" hidden="false" customHeight="false" outlineLevel="0" collapsed="false">
      <c r="A7" s="5" t="s">
        <v>450</v>
      </c>
      <c r="B7" s="24" t="n">
        <f aca="false">SUM('Austin Daily'!J2:J135)</f>
        <v>258167.21</v>
      </c>
      <c r="C7" s="5" t="s">
        <v>451</v>
      </c>
    </row>
    <row r="8" customFormat="false" ht="15" hidden="false" customHeight="false" outlineLevel="0" collapsed="false">
      <c r="A8" s="6" t="s">
        <v>452</v>
      </c>
      <c r="B8" s="23" t="n">
        <f aca="false">SUM('Austin Daily'!K2:K135)</f>
        <v>410595.94</v>
      </c>
      <c r="C8" s="6" t="s">
        <v>453</v>
      </c>
    </row>
    <row r="9" customFormat="false" ht="15" hidden="false" customHeight="false" outlineLevel="0" collapsed="false">
      <c r="A9" s="5" t="s">
        <v>454</v>
      </c>
      <c r="B9" s="25" t="n">
        <f aca="false">B8/B6</f>
        <v>0.61396316468693</v>
      </c>
      <c r="C9" s="5" t="s">
        <v>455</v>
      </c>
    </row>
    <row r="10" customFormat="false" ht="15" hidden="false" customHeight="false" outlineLevel="0" collapsed="false">
      <c r="A10" s="6" t="s">
        <v>456</v>
      </c>
      <c r="B10" s="26" t="s">
        <v>457</v>
      </c>
      <c r="C10" s="6" t="s">
        <v>458</v>
      </c>
    </row>
    <row r="11" customFormat="false" ht="15" hidden="false" customHeight="false" outlineLevel="0" collapsed="false">
      <c r="A11" s="5" t="s">
        <v>459</v>
      </c>
      <c r="B11" s="27" t="n">
        <f aca="false">AVERAGE('Austin Daily'!F2:F135)</f>
        <v>92.7537313432836</v>
      </c>
      <c r="C11" s="5" t="s">
        <v>460</v>
      </c>
    </row>
    <row r="12" customFormat="false" ht="15" hidden="false" customHeight="false" outlineLevel="0" collapsed="false">
      <c r="A12" s="6" t="s">
        <v>461</v>
      </c>
      <c r="B12" s="23" t="n">
        <f aca="false">AVERAGE('Austin Daily'!K2:K135)</f>
        <v>3064.14880597015</v>
      </c>
      <c r="C12" s="6" t="s">
        <v>462</v>
      </c>
    </row>
    <row r="13" customFormat="false" ht="15" hidden="false" customHeight="false" outlineLevel="0" collapsed="false">
      <c r="A13" s="5" t="s">
        <v>463</v>
      </c>
      <c r="B13" s="28" t="n">
        <f aca="false">B8/SUM('Austin Daily'!F2:F135)</f>
        <v>33.0353157937083</v>
      </c>
      <c r="C13" s="5" t="s">
        <v>464</v>
      </c>
    </row>
    <row r="14" customFormat="false" ht="15" hidden="false" customHeight="false" outlineLevel="0" collapsed="false">
      <c r="A14" s="6" t="s">
        <v>465</v>
      </c>
      <c r="B14" s="23" t="n">
        <f aca="false">AVERAGEIF('Austin Daily'!C2:C135,"Sat",'Austin Daily'!K2:K135)</f>
        <v>4333.69</v>
      </c>
      <c r="C14" s="6" t="s">
        <v>466</v>
      </c>
    </row>
    <row r="16" customFormat="false" ht="31.5" hidden="false" customHeight="true" outlineLevel="0" collapsed="false">
      <c r="A16" s="29" t="s">
        <v>467</v>
      </c>
      <c r="B16" s="29"/>
      <c r="C16" s="29"/>
    </row>
  </sheetData>
  <mergeCells count="1">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3" min="3" style="0" width="19"/>
    <col collapsed="false" customWidth="true" hidden="false" outlineLevel="0" max="4" min="4" style="0" width="8"/>
    <col collapsed="false" customWidth="true" hidden="false" outlineLevel="0" max="5" min="5" style="0" width="12"/>
    <col collapsed="false" customWidth="true" hidden="false" outlineLevel="0" max="6" min="6" style="0" width="11"/>
    <col collapsed="false" customWidth="true" hidden="false" outlineLevel="0" max="7" min="7" style="0" width="13"/>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false" outlineLevel="0" max="11" min="11" style="0" width="10"/>
    <col collapsed="false" customWidth="true" hidden="false" outlineLevel="0" max="12" min="12" style="0" width="13"/>
  </cols>
  <sheetData>
    <row r="1" customFormat="false" ht="17.35" hidden="false" customHeight="false" outlineLevel="0" collapsed="false">
      <c r="A1" s="1" t="s">
        <v>468</v>
      </c>
    </row>
    <row r="2" customFormat="false" ht="15" hidden="false" customHeight="false" outlineLevel="0" collapsed="false">
      <c r="A2" s="2" t="s">
        <v>469</v>
      </c>
    </row>
    <row r="4" customFormat="false" ht="23.85" hidden="false" customHeight="false" outlineLevel="0" collapsed="false">
      <c r="A4" s="4" t="s">
        <v>51</v>
      </c>
      <c r="B4" s="4" t="s">
        <v>470</v>
      </c>
      <c r="C4" s="4" t="s">
        <v>54</v>
      </c>
      <c r="D4" s="4" t="s">
        <v>249</v>
      </c>
      <c r="E4" s="4" t="s">
        <v>471</v>
      </c>
      <c r="F4" s="4" t="s">
        <v>472</v>
      </c>
      <c r="G4" s="4" t="s">
        <v>473</v>
      </c>
      <c r="H4" s="4" t="s">
        <v>435</v>
      </c>
      <c r="I4" s="4" t="s">
        <v>474</v>
      </c>
      <c r="J4" s="4" t="s">
        <v>475</v>
      </c>
      <c r="K4" s="4" t="s">
        <v>439</v>
      </c>
      <c r="L4" s="4" t="s">
        <v>476</v>
      </c>
    </row>
    <row r="5" customFormat="false" ht="15" hidden="false" customHeight="false" outlineLevel="0" collapsed="false">
      <c r="A5" s="30" t="s">
        <v>304</v>
      </c>
      <c r="B5" s="30" t="s">
        <v>305</v>
      </c>
      <c r="C5" s="30" t="s">
        <v>261</v>
      </c>
      <c r="D5" s="31" t="n">
        <v>850</v>
      </c>
      <c r="E5" s="32" t="n">
        <f aca="false">D5*98</f>
        <v>83300</v>
      </c>
      <c r="F5" s="33" t="n">
        <v>60</v>
      </c>
      <c r="G5" s="32" t="n">
        <f aca="false">D5*F5</f>
        <v>51000</v>
      </c>
      <c r="H5" s="34" t="n">
        <f aca="false">INDEX('Supplier Reliability'!$F$6:$F$9,MATCH(C5,'Supplier Reliability'!$A$6:$A$9,0))</f>
        <v>0.521739130434783</v>
      </c>
      <c r="I5" s="31" t="n">
        <v>12</v>
      </c>
      <c r="J5" s="30" t="str">
        <f aca="false">IF(MOD(D5,I5)=0,"Whole","Partial")</f>
        <v>Partial</v>
      </c>
      <c r="K5" s="30" t="str">
        <f aca="false">INDEX('Supplier Reliability'!$J$6:$J$9,MATCH(C5,'Supplier Reliability'!$A$6:$A$9,0))</f>
        <v>Reliable</v>
      </c>
      <c r="L5" s="35" t="n">
        <f aca="false">IF(K5="At risk",G5,0)</f>
        <v>0</v>
      </c>
    </row>
    <row r="6" customFormat="false" ht="15" hidden="false" customHeight="false" outlineLevel="0" collapsed="false">
      <c r="A6" s="30" t="s">
        <v>318</v>
      </c>
      <c r="B6" s="30" t="s">
        <v>319</v>
      </c>
      <c r="C6" s="30" t="s">
        <v>275</v>
      </c>
      <c r="D6" s="31" t="n">
        <v>1600</v>
      </c>
      <c r="E6" s="32" t="n">
        <f aca="false">D6*38</f>
        <v>60800</v>
      </c>
      <c r="F6" s="33" t="n">
        <v>23.75</v>
      </c>
      <c r="G6" s="32" t="n">
        <f aca="false">D6*F6</f>
        <v>38000</v>
      </c>
      <c r="H6" s="34" t="n">
        <f aca="false">INDEX('Supplier Reliability'!$F$6:$F$9,MATCH(C6,'Supplier Reliability'!$A$6:$A$9,0))</f>
        <v>0.75</v>
      </c>
      <c r="I6" s="31" t="n">
        <v>24</v>
      </c>
      <c r="J6" s="30" t="str">
        <f aca="false">IF(MOD(D6,I6)=0,"Whole","Partial")</f>
        <v>Partial</v>
      </c>
      <c r="K6" s="30" t="str">
        <f aca="false">INDEX('Supplier Reliability'!$J$6:$J$9,MATCH(C6,'Supplier Reliability'!$A$6:$A$9,0))</f>
        <v>Reliable</v>
      </c>
      <c r="L6" s="35" t="n">
        <f aca="false">IF(K6="At risk",G6,0)</f>
        <v>0</v>
      </c>
    </row>
    <row r="7" customFormat="false" ht="15" hidden="false" customHeight="false" outlineLevel="0" collapsed="false">
      <c r="A7" s="14" t="s">
        <v>287</v>
      </c>
      <c r="B7" s="14" t="s">
        <v>288</v>
      </c>
      <c r="C7" s="14" t="s">
        <v>254</v>
      </c>
      <c r="D7" s="36" t="n">
        <v>1200</v>
      </c>
      <c r="E7" s="37" t="n">
        <f aca="false">D7*58</f>
        <v>69600</v>
      </c>
      <c r="F7" s="38" t="n">
        <v>36</v>
      </c>
      <c r="G7" s="37" t="n">
        <f aca="false">D7*F7</f>
        <v>43200</v>
      </c>
      <c r="H7" s="16" t="n">
        <f aca="false">INDEX('Supplier Reliability'!$F$6:$F$9,MATCH(C7,'Supplier Reliability'!$A$6:$A$9,0))</f>
        <v>6.94117647058824</v>
      </c>
      <c r="I7" s="36" t="n">
        <v>20</v>
      </c>
      <c r="J7" s="14" t="str">
        <f aca="false">IF(MOD(D7,I7)=0,"Whole","Partial")</f>
        <v>Whole</v>
      </c>
      <c r="K7" s="14" t="str">
        <f aca="false">INDEX('Supplier Reliability'!$J$6:$J$9,MATCH(C7,'Supplier Reliability'!$A$6:$A$9,0))</f>
        <v>At risk</v>
      </c>
      <c r="L7" s="39" t="n">
        <f aca="false">IF(K7="At risk",G7,0)</f>
        <v>43200</v>
      </c>
    </row>
    <row r="8" customFormat="false" ht="15" hidden="false" customHeight="false" outlineLevel="0" collapsed="false">
      <c r="A8" s="14" t="s">
        <v>265</v>
      </c>
      <c r="B8" s="14" t="s">
        <v>266</v>
      </c>
      <c r="C8" s="14" t="s">
        <v>267</v>
      </c>
      <c r="D8" s="36" t="n">
        <v>950</v>
      </c>
      <c r="E8" s="37" t="n">
        <f aca="false">D8*78</f>
        <v>74100</v>
      </c>
      <c r="F8" s="38" t="n">
        <v>48</v>
      </c>
      <c r="G8" s="37" t="n">
        <f aca="false">D8*F8</f>
        <v>45600</v>
      </c>
      <c r="H8" s="16" t="n">
        <f aca="false">INDEX('Supplier Reliability'!$F$6:$F$9,MATCH(C8,'Supplier Reliability'!$A$6:$A$9,0))</f>
        <v>12.0833333333333</v>
      </c>
      <c r="I8" s="36" t="n">
        <v>16</v>
      </c>
      <c r="J8" s="14" t="str">
        <f aca="false">IF(MOD(D8,I8)=0,"Whole","Partial")</f>
        <v>Partial</v>
      </c>
      <c r="K8" s="14" t="str">
        <f aca="false">INDEX('Supplier Reliability'!$J$6:$J$9,MATCH(C8,'Supplier Reliability'!$A$6:$A$9,0))</f>
        <v>At risk</v>
      </c>
      <c r="L8" s="39" t="n">
        <f aca="false">IF(K8="At risk",G8,0)</f>
        <v>45600</v>
      </c>
    </row>
    <row r="9" customFormat="false" ht="15" hidden="false" customHeight="false" outlineLevel="0" collapsed="false">
      <c r="A9" s="40"/>
      <c r="B9" s="40"/>
      <c r="C9" s="41" t="s">
        <v>477</v>
      </c>
      <c r="D9" s="42" t="n">
        <f aca="false">SUM(D5:D8)</f>
        <v>4600</v>
      </c>
      <c r="E9" s="43" t="n">
        <f aca="false">SUM(E5:E8)</f>
        <v>287800</v>
      </c>
      <c r="F9" s="40"/>
      <c r="G9" s="43" t="n">
        <f aca="false">SUM(G5:G8)</f>
        <v>177800</v>
      </c>
      <c r="H9" s="40"/>
      <c r="I9" s="40"/>
      <c r="J9" s="40"/>
      <c r="K9" s="40"/>
      <c r="L9" s="43" t="n">
        <f aca="false">SUM(L5:L8)</f>
        <v>88800</v>
      </c>
    </row>
    <row r="10" customFormat="false" ht="15" hidden="false" customHeight="false" outlineLevel="0" collapsed="false">
      <c r="A10" s="12" t="s">
        <v>478</v>
      </c>
      <c r="E10" s="44" t="n">
        <f aca="false">SUMIF(K5:K8,"At risk",E5:E8)</f>
        <v>143700</v>
      </c>
      <c r="G10" s="44" t="n">
        <f aca="false">SUMIF(K5:K8,"At risk",G5:G8)</f>
        <v>88800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30"/>
    <col collapsed="false" customWidth="true" hidden="false" outlineLevel="0" max="4" min="4" style="0" width="36"/>
    <col collapsed="false" customWidth="true" hidden="false" outlineLevel="0" max="5" min="5" style="0" width="12"/>
  </cols>
  <sheetData>
    <row r="1" customFormat="false" ht="17.35" hidden="false" customHeight="false" outlineLevel="0" collapsed="false">
      <c r="A1" s="1" t="s">
        <v>479</v>
      </c>
    </row>
    <row r="3" customFormat="false" ht="15" hidden="false" customHeight="false" outlineLevel="0" collapsed="false">
      <c r="A3" s="3" t="s">
        <v>480</v>
      </c>
    </row>
    <row r="4" customFormat="false" ht="23.85" hidden="false" customHeight="false" outlineLevel="0" collapsed="false">
      <c r="A4" s="41" t="s">
        <v>481</v>
      </c>
      <c r="B4" s="7" t="s">
        <v>482</v>
      </c>
    </row>
    <row r="5" customFormat="false" ht="23.85" hidden="false" customHeight="false" outlineLevel="0" collapsed="false">
      <c r="A5" s="41" t="s">
        <v>483</v>
      </c>
      <c r="B5" s="7" t="s">
        <v>484</v>
      </c>
    </row>
    <row r="6" customFormat="false" ht="23.85" hidden="false" customHeight="false" outlineLevel="0" collapsed="false">
      <c r="A6" s="41" t="s">
        <v>485</v>
      </c>
      <c r="B6" s="7" t="s">
        <v>486</v>
      </c>
    </row>
    <row r="7" customFormat="false" ht="23.85" hidden="false" customHeight="false" outlineLevel="0" collapsed="false">
      <c r="A7" s="41" t="s">
        <v>487</v>
      </c>
      <c r="B7" s="7" t="s">
        <v>488</v>
      </c>
    </row>
    <row r="8" customFormat="false" ht="35.05" hidden="false" customHeight="false" outlineLevel="0" collapsed="false">
      <c r="A8" s="41" t="s">
        <v>489</v>
      </c>
      <c r="B8" s="7" t="s">
        <v>490</v>
      </c>
    </row>
    <row r="9" customFormat="false" ht="23.85" hidden="false" customHeight="false" outlineLevel="0" collapsed="false">
      <c r="A9" s="41" t="s">
        <v>491</v>
      </c>
      <c r="B9" s="7" t="s">
        <v>492</v>
      </c>
    </row>
    <row r="11" customFormat="false" ht="15" hidden="false" customHeight="false" outlineLevel="0" collapsed="false">
      <c r="A11" s="3" t="s">
        <v>493</v>
      </c>
    </row>
    <row r="12" customFormat="false" ht="15" hidden="false" customHeight="false" outlineLevel="0" collapsed="false">
      <c r="A12" s="4" t="s">
        <v>494</v>
      </c>
      <c r="B12" s="4" t="s">
        <v>495</v>
      </c>
      <c r="C12" s="4" t="s">
        <v>496</v>
      </c>
      <c r="D12" s="4" t="s">
        <v>497</v>
      </c>
      <c r="E12" s="4" t="s">
        <v>498</v>
      </c>
    </row>
    <row r="13" customFormat="false" ht="46.25" hidden="false" customHeight="false" outlineLevel="0" collapsed="false">
      <c r="A13" s="6" t="s">
        <v>499</v>
      </c>
      <c r="B13" s="6" t="s">
        <v>500</v>
      </c>
      <c r="C13" s="6" t="s">
        <v>501</v>
      </c>
      <c r="D13" s="6" t="s">
        <v>502</v>
      </c>
      <c r="E13" s="6" t="s">
        <v>503</v>
      </c>
    </row>
    <row r="14" customFormat="false" ht="46.25" hidden="false" customHeight="false" outlineLevel="0" collapsed="false">
      <c r="A14" s="6" t="s">
        <v>504</v>
      </c>
      <c r="B14" s="6" t="s">
        <v>505</v>
      </c>
      <c r="C14" s="6" t="s">
        <v>506</v>
      </c>
      <c r="D14" s="6" t="s">
        <v>507</v>
      </c>
      <c r="E14" s="6" t="s">
        <v>508</v>
      </c>
    </row>
    <row r="15" customFormat="false" ht="68.65" hidden="false" customHeight="false" outlineLevel="0" collapsed="false">
      <c r="A15" s="45" t="s">
        <v>509</v>
      </c>
      <c r="B15" s="45" t="s">
        <v>510</v>
      </c>
      <c r="C15" s="45" t="s">
        <v>511</v>
      </c>
      <c r="D15" s="45" t="s">
        <v>512</v>
      </c>
      <c r="E15" s="45" t="s">
        <v>513</v>
      </c>
    </row>
    <row r="17" customFormat="false" ht="43.5" hidden="false" customHeight="true" outlineLevel="0" collapsed="false">
      <c r="A17" s="46" t="s">
        <v>514</v>
      </c>
      <c r="B17" s="46"/>
      <c r="C17" s="46"/>
      <c r="D17" s="46"/>
      <c r="E17" s="46"/>
    </row>
  </sheetData>
  <mergeCells count="1">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2026-08-20T18:42:09Z</dcterms:created>
  <dc:creator>openpyxl</dc:creator>
  <dc:description/>
  <dc:language>en-US</dc:language>
  <cp:lastModifiedBy/>
  <dcterms:modified xsi:type="dcterms:W3CDTF">2026-08-20T18:42:09Z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